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novo\Documents\FACTURACIÓN FARMACIA VIDA\"/>
    </mc:Choice>
  </mc:AlternateContent>
  <bookViews>
    <workbookView xWindow="-120" yWindow="480" windowWidth="20730" windowHeight="11760" tabRatio="701"/>
  </bookViews>
  <sheets>
    <sheet name="Menu" sheetId="4" r:id="rId1"/>
    <sheet name="Preview2" sheetId="13" r:id="rId2"/>
    <sheet name="BaseProductos" sheetId="1" r:id="rId3"/>
    <sheet name="DatosClientes" sheetId="7" r:id="rId4"/>
    <sheet name="FacturaPlantilla" sheetId="10" r:id="rId5"/>
    <sheet name="ImpProducto" sheetId="6" r:id="rId6"/>
    <sheet name="REGISTROFACTURAS" sheetId="11" r:id="rId7"/>
    <sheet name="REGISTRONOTAS" sheetId="14" r:id="rId8"/>
    <sheet name="BIENES MATERIALES" sheetId="2" state="hidden" r:id="rId9"/>
    <sheet name="VARIOSS- MAQUILLAJE" sheetId="3" state="hidden" r:id="rId10"/>
  </sheets>
  <definedNames>
    <definedName name="_xlnm.Print_Area" localSheetId="2">BaseProductos!$A$7:$I$999</definedName>
    <definedName name="_xlnm.Print_Area" localSheetId="4">FacturaPlantilla!$A$1:$K$44</definedName>
    <definedName name="_xlnm.Print_Area" localSheetId="5">ImpProducto!$A$1:$D$39</definedName>
    <definedName name="_xlnm.Print_Area" localSheetId="1">Preview2!$A$1:$K$28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70" i="1" l="1"/>
  <c r="B4" i="13" l="1"/>
  <c r="D1037" i="1" l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07" i="1"/>
  <c r="D908" i="1"/>
  <c r="D909" i="1"/>
  <c r="D910" i="1"/>
  <c r="D911" i="1"/>
  <c r="D912" i="1"/>
  <c r="D913" i="1"/>
  <c r="D914" i="1"/>
  <c r="D915" i="1"/>
  <c r="D916" i="1"/>
  <c r="D917" i="1"/>
  <c r="D906" i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8" i="1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972" i="13"/>
  <c r="F973" i="13"/>
  <c r="F974" i="13"/>
  <c r="F975" i="13"/>
  <c r="F976" i="13"/>
  <c r="F977" i="13"/>
  <c r="F978" i="13"/>
  <c r="F979" i="13"/>
  <c r="F980" i="13"/>
  <c r="F981" i="13"/>
  <c r="F982" i="13"/>
  <c r="F983" i="13"/>
  <c r="F984" i="13"/>
  <c r="F985" i="13"/>
  <c r="F986" i="13"/>
  <c r="F987" i="13"/>
  <c r="F988" i="13"/>
  <c r="F989" i="13"/>
  <c r="F990" i="13"/>
  <c r="F991" i="13"/>
  <c r="F992" i="13"/>
  <c r="F993" i="13"/>
  <c r="H1" i="13" l="1"/>
  <c r="B7" i="14" l="1"/>
  <c r="B7" i="11" l="1"/>
  <c r="H2" i="13" l="1"/>
  <c r="C25" i="2"/>
  <c r="D24" i="2"/>
  <c r="A6" i="1"/>
  <c r="A3" i="1"/>
  <c r="A4" i="1" s="1"/>
  <c r="H36" i="10"/>
  <c r="A4" i="13"/>
  <c r="A6" i="7"/>
  <c r="H3" i="13" l="1"/>
  <c r="H38" i="10"/>
  <c r="H40" i="10" s="1"/>
  <c r="H34" i="10"/>
  <c r="D6" i="1"/>
</calcChain>
</file>

<file path=xl/connections.xml><?xml version="1.0" encoding="utf-8"?>
<connections xmlns="http://schemas.openxmlformats.org/spreadsheetml/2006/main">
  <connection id="1" keepAlive="1" name="Consulta - TablaPreview" description="Conexión a la consulta 'TablaPreview' en el libro." type="5" refreshedVersion="6" background="1">
    <dbPr connection="Provider=Microsoft.Mashup.OleDb.1;Data Source=$Workbook$;Location=TablaPreview;Extended Properties=&quot;&quot;" command="SELECT * FROM [TablaPreview]"/>
  </connection>
</connections>
</file>

<file path=xl/sharedStrings.xml><?xml version="1.0" encoding="utf-8"?>
<sst xmlns="http://schemas.openxmlformats.org/spreadsheetml/2006/main" count="2847" uniqueCount="1819">
  <si>
    <t>INVENTARIO GENERAL</t>
  </si>
  <si>
    <t>CANTIDAD</t>
  </si>
  <si>
    <t>DETALLE</t>
  </si>
  <si>
    <t>PERCHAS PEQUEÑAS</t>
  </si>
  <si>
    <t>COUNTER</t>
  </si>
  <si>
    <t>COMPUTADORAS</t>
  </si>
  <si>
    <t>ESCRITORIO</t>
  </si>
  <si>
    <t>CAMARAS</t>
  </si>
  <si>
    <t>ROTULOS PEQUEÑOS</t>
  </si>
  <si>
    <t>ROTULO GRANDE</t>
  </si>
  <si>
    <t>CARAMELERAS</t>
  </si>
  <si>
    <t>REJILLA PARA SEGURIDAD</t>
  </si>
  <si>
    <t>ADORLAN</t>
  </si>
  <si>
    <t>ARTREN</t>
  </si>
  <si>
    <t>ANSAID</t>
  </si>
  <si>
    <t>APRONAX CAPSULAS</t>
  </si>
  <si>
    <t xml:space="preserve">APRONAX TB 550 </t>
  </si>
  <si>
    <t>APRONAX INFANTIL</t>
  </si>
  <si>
    <t>IBUPROFENO NDE 400 C/P</t>
  </si>
  <si>
    <t>IBUPROFENO 800 C/P</t>
  </si>
  <si>
    <t>IBUPROFENO 600 C/P</t>
  </si>
  <si>
    <t>UMBRAL CAP</t>
  </si>
  <si>
    <t>FEBRAX TABLETAS</t>
  </si>
  <si>
    <t>FLANAX 550</t>
  </si>
  <si>
    <t>FINALIN FEM</t>
  </si>
  <si>
    <t>FINALIN FORTE</t>
  </si>
  <si>
    <t>FEMEN FORTE</t>
  </si>
  <si>
    <t>LERTUS FORTE TAB</t>
  </si>
  <si>
    <t>TRAMADOL INYEC</t>
  </si>
  <si>
    <t>KETOROLACO INYEC</t>
  </si>
  <si>
    <t>DICLOFENACO INYEC C/P</t>
  </si>
  <si>
    <t>APYRAL PLUS TB</t>
  </si>
  <si>
    <t>ARCOXIA 60MG</t>
  </si>
  <si>
    <t>BIENEX 15MG CAPS</t>
  </si>
  <si>
    <t>BIENEX 7.5MG CAPS</t>
  </si>
  <si>
    <t>BIENEX SL</t>
  </si>
  <si>
    <t>BIENEX INY</t>
  </si>
  <si>
    <t>BUPREX FLASH 400</t>
  </si>
  <si>
    <t>BUPREX FLASH 600</t>
  </si>
  <si>
    <t>BUPREX 200</t>
  </si>
  <si>
    <t>BIPROFENID</t>
  </si>
  <si>
    <t>DOLGENAL SL 30</t>
  </si>
  <si>
    <t>DOLGENAL 20MG TB</t>
  </si>
  <si>
    <t>DOLGENAL 10MG</t>
  </si>
  <si>
    <t>DOLGENAL 10 SL</t>
  </si>
  <si>
    <t>MOLAREX FORTE</t>
  </si>
  <si>
    <t>MELOXICAM 15MG VARIOS</t>
  </si>
  <si>
    <t>MARTESIA 75</t>
  </si>
  <si>
    <t>NOVALGINA</t>
  </si>
  <si>
    <t>UMBRAMIL CAP</t>
  </si>
  <si>
    <t>ODONTOGESIC</t>
  </si>
  <si>
    <t>RELMEX</t>
  </si>
  <si>
    <t>VOLTAREN 50</t>
  </si>
  <si>
    <t>VOLTAREN 75</t>
  </si>
  <si>
    <t>VOLTAREN 100</t>
  </si>
  <si>
    <t>ZALDIAR</t>
  </si>
  <si>
    <t>UVAMIN</t>
  </si>
  <si>
    <t>DIPIRONA</t>
  </si>
  <si>
    <t>TAMSULON</t>
  </si>
  <si>
    <t>NIFURYL</t>
  </si>
  <si>
    <t>BLADURIL</t>
  </si>
  <si>
    <t xml:space="preserve">VALOR REAL </t>
  </si>
  <si>
    <t>VALOR DEPRECIADO9 MESES</t>
  </si>
  <si>
    <t>VITRINA DE VIDRIO</t>
  </si>
  <si>
    <t>MONITOR /MAUSE PARA CAMARAS</t>
  </si>
  <si>
    <t>SEÑALETICA</t>
  </si>
  <si>
    <t>LAMPARAS DE EMERGENCIA</t>
  </si>
  <si>
    <t>CHISMOSO</t>
  </si>
  <si>
    <t>PERCHA PARA INSUMOS</t>
  </si>
  <si>
    <t>ESXTINTOR</t>
  </si>
  <si>
    <t>ALARMA</t>
  </si>
  <si>
    <t>MUEBLE PARA MONITOR CAMARAS</t>
  </si>
  <si>
    <t>CAMILLA PARA INYECTAR</t>
  </si>
  <si>
    <t>TELEFONO</t>
  </si>
  <si>
    <t>MESYGINA</t>
  </si>
  <si>
    <t>DEPOPROVERA</t>
  </si>
  <si>
    <t>SILDENAFIL GENFAR</t>
  </si>
  <si>
    <t>SILDENAFIL SANTE</t>
  </si>
  <si>
    <t>LUBRICANTE K&amp;Y 50</t>
  </si>
  <si>
    <t>POVIRON</t>
  </si>
  <si>
    <t>PRIMOTESTON</t>
  </si>
  <si>
    <t>SOLUNA</t>
  </si>
  <si>
    <t>DEPO-MEDROL</t>
  </si>
  <si>
    <t>COLUFASE 30 JARABE</t>
  </si>
  <si>
    <t>COLUFASE 60 JARABE</t>
  </si>
  <si>
    <t>ETRON 250ML</t>
  </si>
  <si>
    <t>ETRON 125 ML</t>
  </si>
  <si>
    <t>ETROM CAPSULAS</t>
  </si>
  <si>
    <t>METRONIDAZOL TB GENFAR</t>
  </si>
  <si>
    <t>ALBENDAZOL TB</t>
  </si>
  <si>
    <t>SECNIDAZOL TB</t>
  </si>
  <si>
    <t>AFRIN ADUL</t>
  </si>
  <si>
    <t>AFRIN NIÑO</t>
  </si>
  <si>
    <t>ALERCET TB</t>
  </si>
  <si>
    <t>ALERGI PLUS</t>
  </si>
  <si>
    <t>ALLEGRA 120</t>
  </si>
  <si>
    <t>DEGRALER TB</t>
  </si>
  <si>
    <t>CETIRIZINA LA SANTE</t>
  </si>
  <si>
    <t>CLARICORT TB</t>
  </si>
  <si>
    <t>LORATADINA TB</t>
  </si>
  <si>
    <t>RHINODINA TB</t>
  </si>
  <si>
    <t>MARIMER BABY</t>
  </si>
  <si>
    <t xml:space="preserve">LEVOCET TB </t>
  </si>
  <si>
    <t>RHINAF</t>
  </si>
  <si>
    <t>MICROSER 24</t>
  </si>
  <si>
    <t>SUCRA SWEET</t>
  </si>
  <si>
    <t>AFEITADORAS BIG</t>
  </si>
  <si>
    <t>DEPILEX</t>
  </si>
  <si>
    <t>REGENEX</t>
  </si>
  <si>
    <t>PONDS SECA</t>
  </si>
  <si>
    <t>PONDS REJUVENES</t>
  </si>
  <si>
    <t>SPEDD SPECK</t>
  </si>
  <si>
    <t>MENTOL CHINO</t>
  </si>
  <si>
    <t>KURADOR</t>
  </si>
  <si>
    <t>SIKURA</t>
  </si>
  <si>
    <t>MANTECA CACO</t>
  </si>
  <si>
    <t>CEPILLO DENTAL BABY</t>
  </si>
  <si>
    <t xml:space="preserve">CEPILLO COLGATE </t>
  </si>
  <si>
    <t>VITA C MK</t>
  </si>
  <si>
    <t>CEBION MINI</t>
  </si>
  <si>
    <t>CICATRICURE ANTI-AGE</t>
  </si>
  <si>
    <t>CICATRICURE CICATRISES</t>
  </si>
  <si>
    <t>AFEITADORAS</t>
  </si>
  <si>
    <t>ACROMONA</t>
  </si>
  <si>
    <t>ACNOTIN 20</t>
  </si>
  <si>
    <t>CLOMAZOL VAGINAL CREMA</t>
  </si>
  <si>
    <t>CERVIXEP</t>
  </si>
  <si>
    <t>LIONDOX PLUS ORAL</t>
  </si>
  <si>
    <t>LIONDOX VAGINAL</t>
  </si>
  <si>
    <t>GYNO CANESTEN CREMA</t>
  </si>
  <si>
    <t>ETRON OVULOS</t>
  </si>
  <si>
    <t>ETRON+NISTATINA</t>
  </si>
  <si>
    <t>VAXIDUO</t>
  </si>
  <si>
    <t>VAGIL C CREMA</t>
  </si>
  <si>
    <t>METRONIDAZOL OVULOS C/P</t>
  </si>
  <si>
    <t>SINPAUSE</t>
  </si>
  <si>
    <t>ANTIPLAC</t>
  </si>
  <si>
    <t>ALOPURINOL</t>
  </si>
  <si>
    <t>ASPIRINA INF</t>
  </si>
  <si>
    <t>ASPIRINAS ADVA TB</t>
  </si>
  <si>
    <t>ASPIRINA ADVA SOBRES</t>
  </si>
  <si>
    <t>ANGIORETIC</t>
  </si>
  <si>
    <t>CAPTOPRIL 25</t>
  </si>
  <si>
    <t>CAPTOPRIL 50</t>
  </si>
  <si>
    <t>CLORTALIDONA</t>
  </si>
  <si>
    <t>CARVEDILOL 12.5</t>
  </si>
  <si>
    <t>ENALAPRIL 5MG</t>
  </si>
  <si>
    <t>CONVERTAL D 50</t>
  </si>
  <si>
    <t>CONVERTAL  50</t>
  </si>
  <si>
    <t>LOSARTAN 100MG SANTE</t>
  </si>
  <si>
    <t>FUROSEMIDA</t>
  </si>
  <si>
    <t>SIMVASTATINA 20MG</t>
  </si>
  <si>
    <t>CONVERTAL D100</t>
  </si>
  <si>
    <t>GENFIBROZILO 600</t>
  </si>
  <si>
    <t>ENALAPRIL 10MG</t>
  </si>
  <si>
    <t>V/U VENTA</t>
  </si>
  <si>
    <t>V/T VENTA</t>
  </si>
  <si>
    <t>COLUFASE 500MG DETALLADO</t>
  </si>
  <si>
    <t>AMOXICILINA 1 SANTE</t>
  </si>
  <si>
    <t>AZITROMICINA SUSPENSIÓN EGUAGEN</t>
  </si>
  <si>
    <t>PROFLOX</t>
  </si>
  <si>
    <t>CEFUROXIMA 500 LABOVIDA</t>
  </si>
  <si>
    <t>CEFUROXIMA 500 DE NIFA</t>
  </si>
  <si>
    <t>CEFALEXINA 1 NIFA</t>
  </si>
  <si>
    <t>BICONCILINA 2'400.000</t>
  </si>
  <si>
    <t>CURAM 625 MG</t>
  </si>
  <si>
    <t>BIODROXIL 500</t>
  </si>
  <si>
    <t>BIODROXIL 1000MG</t>
  </si>
  <si>
    <t>CURAM 1000MG</t>
  </si>
  <si>
    <t xml:space="preserve">DICLOXACILINA 500MG </t>
  </si>
  <si>
    <t>DICLOXACILINA SANTE</t>
  </si>
  <si>
    <t>ERITROMICINA 500</t>
  </si>
  <si>
    <t>TETRACICLINA 500</t>
  </si>
  <si>
    <t xml:space="preserve">AMPIBEX INYECCION </t>
  </si>
  <si>
    <t>SULTAMIX 750</t>
  </si>
  <si>
    <t>NECROXIL</t>
  </si>
  <si>
    <t>TRUXA 750</t>
  </si>
  <si>
    <t>MEGACILINA 1'0000000</t>
  </si>
  <si>
    <t>SUPRAMICYNA  100MG</t>
  </si>
  <si>
    <t>GOVAL GOTAS</t>
  </si>
  <si>
    <t>ANAPSIQUE 25MG</t>
  </si>
  <si>
    <t>NEOGAIVAL 3</t>
  </si>
  <si>
    <t>NEOGAIVAL 2</t>
  </si>
  <si>
    <t>DONECLAR 5MG</t>
  </si>
  <si>
    <t>SERTRALINA</t>
  </si>
  <si>
    <t>FLUOXETINA</t>
  </si>
  <si>
    <t>INSOCAPS</t>
  </si>
  <si>
    <t>ZOPLICONA 7.5MG</t>
  </si>
  <si>
    <t>ZALEPLA</t>
  </si>
  <si>
    <t>CALCEFOR D</t>
  </si>
  <si>
    <t>DOLO- CURAFLEX</t>
  </si>
  <si>
    <t>CALID</t>
  </si>
  <si>
    <t>CALCIBON D</t>
  </si>
  <si>
    <t>DENSIBONE D</t>
  </si>
  <si>
    <t>DAFLON</t>
  </si>
  <si>
    <t>NIKZON</t>
  </si>
  <si>
    <t>FAKTU SUPOSITORIOS</t>
  </si>
  <si>
    <t>FAKTU CREMA</t>
  </si>
  <si>
    <t>CARBIDOPA/LEVODOPA</t>
  </si>
  <si>
    <t>TEGRETOL CR 400</t>
  </si>
  <si>
    <t>CARBAMAZEPINA 200MG</t>
  </si>
  <si>
    <t>CARBAMAZEPINA 400MG</t>
  </si>
  <si>
    <t xml:space="preserve">POLIVITAMINAS Y MINERALES </t>
  </si>
  <si>
    <t>RECUPEREX FORTE</t>
  </si>
  <si>
    <t>TON WAS</t>
  </si>
  <si>
    <t>ACTIVA VIT</t>
  </si>
  <si>
    <t>RECORDERIS</t>
  </si>
  <si>
    <t>DENSIBON D G</t>
  </si>
  <si>
    <t>BAGOHEPAT</t>
  </si>
  <si>
    <t>SIMARIN FORTE</t>
  </si>
  <si>
    <t>EGOGYN 1000</t>
  </si>
  <si>
    <t>KUFER Q ECV</t>
  </si>
  <si>
    <t>INMUVIT</t>
  </si>
  <si>
    <t>KOBIL EMS</t>
  </si>
  <si>
    <t>SIMEPAR</t>
  </si>
  <si>
    <t>HEPABIONTA PLUS</t>
  </si>
  <si>
    <t xml:space="preserve">HEPASIL </t>
  </si>
  <si>
    <t>PHARMATHON</t>
  </si>
  <si>
    <t>PROPOLIS</t>
  </si>
  <si>
    <t>SUPRADYN</t>
  </si>
  <si>
    <t>TRI-K</t>
  </si>
  <si>
    <t>VISINAS EX.</t>
  </si>
  <si>
    <t>SYSTANE GEL</t>
  </si>
  <si>
    <t>GAAP</t>
  </si>
  <si>
    <t xml:space="preserve">TIOF </t>
  </si>
  <si>
    <t>POVIRAL</t>
  </si>
  <si>
    <t>OFTAFILM S.P</t>
  </si>
  <si>
    <t>NEBULASMA PLUS</t>
  </si>
  <si>
    <t>NEBULASMA EX</t>
  </si>
  <si>
    <t>AMBROXOL 30ML</t>
  </si>
  <si>
    <t>FLUIMUCIL 600</t>
  </si>
  <si>
    <t>FLUIMUCIL 100</t>
  </si>
  <si>
    <t>FLUIMUCIL 200</t>
  </si>
  <si>
    <t>ATROVENT</t>
  </si>
  <si>
    <t>CLARIXOL TB</t>
  </si>
  <si>
    <t>MUXOL</t>
  </si>
  <si>
    <t>MUCOSOLVAN</t>
  </si>
  <si>
    <t>REDOXON ACCION DOBLE</t>
  </si>
  <si>
    <t>CEBION GOTAS</t>
  </si>
  <si>
    <t>REDOXON GOTAS</t>
  </si>
  <si>
    <t>REDOXON FORTE</t>
  </si>
  <si>
    <t>BEROCCA</t>
  </si>
  <si>
    <t>VITAMINA C 100 NATURLIGHTH</t>
  </si>
  <si>
    <t>CEMIN</t>
  </si>
  <si>
    <t xml:space="preserve">SINGRIPAL </t>
  </si>
  <si>
    <t>RESFRIN</t>
  </si>
  <si>
    <t>LEMONFLU SOBRE</t>
  </si>
  <si>
    <t>LEMONFLU EN TB</t>
  </si>
  <si>
    <t>GENFARGRIP SOBRES</t>
  </si>
  <si>
    <t>TERMINEX</t>
  </si>
  <si>
    <t>RHINODINA D CAPS</t>
  </si>
  <si>
    <t>NASTIFRIN COMPUESTO TB</t>
  </si>
  <si>
    <t>MEBOLIMON</t>
  </si>
  <si>
    <t>TUSSOLVINA FORTE EN CAPSULAS</t>
  </si>
  <si>
    <t>ALERCET D  CAPS</t>
  </si>
  <si>
    <t xml:space="preserve">FLURITOX F </t>
  </si>
  <si>
    <t>FINALIN GRIPE</t>
  </si>
  <si>
    <t>NEOGRIPAL F *10</t>
  </si>
  <si>
    <t>ORALSEP TB</t>
  </si>
  <si>
    <t>ACTIVOX  MENTA</t>
  </si>
  <si>
    <t>FLUZETRIN F</t>
  </si>
  <si>
    <t>BIOGENTA</t>
  </si>
  <si>
    <t>ENALAPRIL 10MG NIFFA</t>
  </si>
  <si>
    <t>GYNO CANESTEN OVULOS</t>
  </si>
  <si>
    <t>HEPALIVE</t>
  </si>
  <si>
    <t>MICROGYNON 28</t>
  </si>
  <si>
    <t>GLUCERNA 400GRA</t>
  </si>
  <si>
    <t>ENSURE ADVANCE 400GR</t>
  </si>
  <si>
    <t>ENSURE ADVANCE 800GR</t>
  </si>
  <si>
    <t>6-COPIN TAB</t>
  </si>
  <si>
    <t>CLOPAN</t>
  </si>
  <si>
    <t>AERO-M FORTE</t>
  </si>
  <si>
    <t>DIGESPAR</t>
  </si>
  <si>
    <t>QG5</t>
  </si>
  <si>
    <t>AERO-OM 40MG</t>
  </si>
  <si>
    <t>DIGESTA</t>
  </si>
  <si>
    <t>COLYPAN PLUS</t>
  </si>
  <si>
    <t>COLYPAN 200MG</t>
  </si>
  <si>
    <t>PASEDOL</t>
  </si>
  <si>
    <t>ENDIAL DIGEST</t>
  </si>
  <si>
    <t>DIGERIL</t>
  </si>
  <si>
    <t>ACI-TIP JARABE</t>
  </si>
  <si>
    <t>OMEPRAZOL DE 20 GENERICO</t>
  </si>
  <si>
    <t>OMEPRAZOL DE 40 GENERICO</t>
  </si>
  <si>
    <t>ULCOZOL RAPID TB</t>
  </si>
  <si>
    <t>TAURAL 300MG</t>
  </si>
  <si>
    <t>ACI-TIP MAS</t>
  </si>
  <si>
    <t>RANITIDINA INY</t>
  </si>
  <si>
    <t>BACTRIM TB</t>
  </si>
  <si>
    <t>DIAREN</t>
  </si>
  <si>
    <t>TRIMETROPIM SULFA</t>
  </si>
  <si>
    <t>SERTAL</t>
  </si>
  <si>
    <t>DUOPAS</t>
  </si>
  <si>
    <t>DULCOLAX TB</t>
  </si>
  <si>
    <t>ENTEROGERMINA AMPOLLA SIMPLE</t>
  </si>
  <si>
    <t>ENTEROGERMINA AMPOLLA PLUS</t>
  </si>
  <si>
    <t>LACTEOL FORTE TB</t>
  </si>
  <si>
    <t>LACTEOL FORTE EN SOBRE</t>
  </si>
  <si>
    <t>FLORATIL CAPS</t>
  </si>
  <si>
    <t>FLORATIL SOBRES</t>
  </si>
  <si>
    <t>CIRUELAX COMP</t>
  </si>
  <si>
    <t>ROXICAINA SPRY</t>
  </si>
  <si>
    <t>CLOTRIMAZOL CREMA TOP</t>
  </si>
  <si>
    <t>TRIGENTAX</t>
  </si>
  <si>
    <t>BETAMETASONA TOP</t>
  </si>
  <si>
    <t>LAMODERM NASAL</t>
  </si>
  <si>
    <t>QUADRIDERM</t>
  </si>
  <si>
    <t>MUPIRAL</t>
  </si>
  <si>
    <t>GENTAMAX CREMA</t>
  </si>
  <si>
    <t>NYSTASOLONA  CREMA</t>
  </si>
  <si>
    <t>NEO-NYSTASOLONA</t>
  </si>
  <si>
    <t>MEBO 15G</t>
  </si>
  <si>
    <t>MEBO  30 GR</t>
  </si>
  <si>
    <t>HIRUDOID GEL 20 GR</t>
  </si>
  <si>
    <t>ACICLOVIR 200MG</t>
  </si>
  <si>
    <t>ACICLOVIR CREMA</t>
  </si>
  <si>
    <t>ACICLOVIR 800MG</t>
  </si>
  <si>
    <t>TERBINAFINA TB</t>
  </si>
  <si>
    <t>GAMALATE  B6</t>
  </si>
  <si>
    <t>GESLUTIN 200MG</t>
  </si>
  <si>
    <t>MIGRADORIXINA TB</t>
  </si>
  <si>
    <t>BUPREX MIGRA</t>
  </si>
  <si>
    <t>YUWEL PRESION</t>
  </si>
  <si>
    <t>KOTEX BUENAS NOCHES*30</t>
  </si>
  <si>
    <t>PANOLINI *24 M2</t>
  </si>
  <si>
    <t>PAÑAL HUGGIES XG*36</t>
  </si>
  <si>
    <t>PAÑAL HUGGIES G3*44</t>
  </si>
  <si>
    <t>PAÑAL HUGGIES G3*22</t>
  </si>
  <si>
    <t>PAÑAL HUGGIES M2 *26</t>
  </si>
  <si>
    <t>PAÑAL PEQUEÑIN 4 XG *36</t>
  </si>
  <si>
    <t>PAÑAL PEQUEÑIN 5XXG *32</t>
  </si>
  <si>
    <t>ALKA SELTZER</t>
  </si>
  <si>
    <t>SAL ANDREWS*12</t>
  </si>
  <si>
    <t>SAL ANDREWS*50</t>
  </si>
  <si>
    <t>TOPIDEN NIÑO</t>
  </si>
  <si>
    <t>TOPI BUCAL ADULTO</t>
  </si>
  <si>
    <t>PEDIALYTE COCO</t>
  </si>
  <si>
    <t>PEDIALYTE UVA</t>
  </si>
  <si>
    <t>SOBRES ORALYTE FRESA</t>
  </si>
  <si>
    <t>SUERO ORAL</t>
  </si>
  <si>
    <t>HIDRASEC 30 NIÑOS</t>
  </si>
  <si>
    <t>HIDRASEC 10 LACTANTES</t>
  </si>
  <si>
    <t>SECOHIDRAT</t>
  </si>
  <si>
    <t>METFORMINA Y GLIBENCLAMIDA TB</t>
  </si>
  <si>
    <t>GLUCOCID 500</t>
  </si>
  <si>
    <t>GLOCOFAGE 500MG</t>
  </si>
  <si>
    <t>METFORMINA 850</t>
  </si>
  <si>
    <t>EUTIROX 100</t>
  </si>
  <si>
    <t>EUTIROX 25</t>
  </si>
  <si>
    <t>EUTIROX 75</t>
  </si>
  <si>
    <t>EUTIROX150</t>
  </si>
  <si>
    <t>GLUCOFAGE XR 750</t>
  </si>
  <si>
    <t>PREDNISONA 20</t>
  </si>
  <si>
    <t>QUERATOL 200GRA 10%</t>
  </si>
  <si>
    <t>AMPICILINA 250</t>
  </si>
  <si>
    <t>AMOXICILINA 250MG</t>
  </si>
  <si>
    <t>BINOZYT 250</t>
  </si>
  <si>
    <t>FINALIN NIÑOS</t>
  </si>
  <si>
    <t>CEFADIN 250 JARABE</t>
  </si>
  <si>
    <t>BUPREX JARABE SIMPLE</t>
  </si>
  <si>
    <t>BUPREX FORTE JARABE</t>
  </si>
  <si>
    <t>BACTRIM SIMPLE JARABE</t>
  </si>
  <si>
    <t>CEFUR  250 JARABE</t>
  </si>
  <si>
    <t>UMBRAL 120ML JARABE</t>
  </si>
  <si>
    <t xml:space="preserve">BACTEROL  FORTE JARABE </t>
  </si>
  <si>
    <t>ACICLOVIR JARABE</t>
  </si>
  <si>
    <t>NASTIZOL EN GOTAS</t>
  </si>
  <si>
    <t>PARACETAMOL 100ML GOTOS</t>
  </si>
  <si>
    <t>CURAM 312.5</t>
  </si>
  <si>
    <t>DOLO NEUROBION INYECCION</t>
  </si>
  <si>
    <t>NEUROBION GRAJEAS</t>
  </si>
  <si>
    <t>TENSIFLEX</t>
  </si>
  <si>
    <t>DOLONEUROBION FORTE</t>
  </si>
  <si>
    <t>DOLONEUROBION RETARD</t>
  </si>
  <si>
    <t>DOLO NEUROBION GRAJEAS</t>
  </si>
  <si>
    <t>DORIXINA RELAX</t>
  </si>
  <si>
    <t>TIOCOLFEN CAP</t>
  </si>
  <si>
    <t>BUPREX GOTAS</t>
  </si>
  <si>
    <t>NEUROBION DE 1000 *1</t>
  </si>
  <si>
    <t>NEUROBION 10000 *3</t>
  </si>
  <si>
    <t>NEUROBION DE 25000*1</t>
  </si>
  <si>
    <t>DEXABION INYE</t>
  </si>
  <si>
    <t>DEGRALER FORTE JARABE</t>
  </si>
  <si>
    <t>NIFURYL JARABE</t>
  </si>
  <si>
    <t>FLURITOX GOTAS</t>
  </si>
  <si>
    <t>GAMALATE  B6 JARABE</t>
  </si>
  <si>
    <t>NEOGRIPAL JARABE</t>
  </si>
  <si>
    <t>AEROM GOTAS</t>
  </si>
  <si>
    <t>UMBRAL GOTAS</t>
  </si>
  <si>
    <t>SERTAL GOTAS</t>
  </si>
  <si>
    <t>ALBENDAZOL GOTAS</t>
  </si>
  <si>
    <t>RHINODINA JARABE</t>
  </si>
  <si>
    <t>FLUZETRIN GOTAS</t>
  </si>
  <si>
    <t>NEOGRIPAL GOTAS</t>
  </si>
  <si>
    <t>ENFAMIL PREMIUM 2 375G</t>
  </si>
  <si>
    <t>ENFAMIL CON HIERRO 2 375G</t>
  </si>
  <si>
    <t>ENFAMIL CON HIERRO 1 375G</t>
  </si>
  <si>
    <t>NIDO  400GR</t>
  </si>
  <si>
    <t>NAN OPTIPRO  2 400</t>
  </si>
  <si>
    <t>NESTOGENO 1 400G</t>
  </si>
  <si>
    <t>ENSURE FRESA 900GRA</t>
  </si>
  <si>
    <t>NIDO DE 1700GRAMOS</t>
  </si>
  <si>
    <t>NIDO FUNDA</t>
  </si>
  <si>
    <t>EMULSION SCOT</t>
  </si>
  <si>
    <t>APETITOL  JALEA</t>
  </si>
  <si>
    <t>NOSOTRAS LACTI BABY GRANDE</t>
  </si>
  <si>
    <t>EXTRACTOR LECHE</t>
  </si>
  <si>
    <t>DESITIN 57GRAMOS</t>
  </si>
  <si>
    <t>DESITIN 113 GRAMOS</t>
  </si>
  <si>
    <t>ARRURU 100 GRAMOS</t>
  </si>
  <si>
    <t>ARRURU 25 GRAMOS</t>
  </si>
  <si>
    <t>CREMA CERO 50G</t>
  </si>
  <si>
    <t>CREMA CERO ALOE VERA 50G</t>
  </si>
  <si>
    <t>VASELINAS PEQUEÑAS</t>
  </si>
  <si>
    <t>PAÑOS HUGGIES *48</t>
  </si>
  <si>
    <t>PAÑOS PEQUEÑIN *50</t>
  </si>
  <si>
    <t>NOSOTRAS LACTI BABY PEQUEÑO</t>
  </si>
  <si>
    <t>RECOLECTOR DE LECHE MATERNA</t>
  </si>
  <si>
    <t>CREMA JHONSOS BABY 200ML ORIGINAL</t>
  </si>
  <si>
    <t>CREMA AVENA JOHNSONS  200ML</t>
  </si>
  <si>
    <t>JOHNSONS SHAMPOO  ALOE Y VTAMINA E 100ML</t>
  </si>
  <si>
    <t>COLONIA NIÑOS 100ML</t>
  </si>
  <si>
    <t>SHAMPOO ANGELINO 150ML</t>
  </si>
  <si>
    <t>KIT DE BIBERONES *3</t>
  </si>
  <si>
    <t>COREGA CAJA 20 GRA</t>
  </si>
  <si>
    <t>COREGA CAJA 40 GRA</t>
  </si>
  <si>
    <t xml:space="preserve">JONSONS TALCO BABY 100GR JOHNSONS </t>
  </si>
  <si>
    <t xml:space="preserve">JONSONS TALCO BABY 200GR JOHNSONS </t>
  </si>
  <si>
    <t>BLENDY  ENJUAGUE NIÑOS 300ML</t>
  </si>
  <si>
    <t>DEODORONT TALCO</t>
  </si>
  <si>
    <t>DENTURE BEBE TUTIFRUTI</t>
  </si>
  <si>
    <t>HIDRAPLUS SACHETS *5</t>
  </si>
  <si>
    <t>COLGATE SENSITIVE BLANQUEADOR</t>
  </si>
  <si>
    <t>PASTA COLGATE ORIGINAL  150ML</t>
  </si>
  <si>
    <t>PASTA BLENDAX</t>
  </si>
  <si>
    <t>PASTA DENTURE ADULTOS</t>
  </si>
  <si>
    <t>ENCIDENT PROFESIONAL 500ML</t>
  </si>
  <si>
    <t>TALCO RICO 300G</t>
  </si>
  <si>
    <t>PULVAPIES SPRY</t>
  </si>
  <si>
    <t>FRESH BURS ENJUAGUE PEQUERÑO</t>
  </si>
  <si>
    <t xml:space="preserve">CANEST PLUS </t>
  </si>
  <si>
    <t>SILKA MEDIC</t>
  </si>
  <si>
    <t>UNESIA</t>
  </si>
  <si>
    <t>LINIMENTO OLIM</t>
  </si>
  <si>
    <t>DETAN 60ML</t>
  </si>
  <si>
    <t>DETAN 120ML</t>
  </si>
  <si>
    <t>REPELENTE FAMILY</t>
  </si>
  <si>
    <t>NIVEA ACLARADO</t>
  </si>
  <si>
    <t>TANGA BRONZEADOR</t>
  </si>
  <si>
    <t>UMBRELLA SPRY</t>
  </si>
  <si>
    <t>SUNCARE KIDS</t>
  </si>
  <si>
    <t>TANGA BLOQUEADOR</t>
  </si>
  <si>
    <t>NATIVA 100 BLOQUEADOR</t>
  </si>
  <si>
    <t>NATIVA KIDS BLOQ</t>
  </si>
  <si>
    <t>SUNDOWN KIDS</t>
  </si>
  <si>
    <t>MENTICOL</t>
  </si>
  <si>
    <t xml:space="preserve">CREMA BABARIA </t>
  </si>
  <si>
    <t>LECHE CORPORAL BABARIA</t>
  </si>
  <si>
    <t>SHAMPOO VERONIQUE SACHET</t>
  </si>
  <si>
    <t>SHAMPOO VEROQUE</t>
  </si>
  <si>
    <t>ISSUE TINTE</t>
  </si>
  <si>
    <t>ISSUE SACHET</t>
  </si>
  <si>
    <t>SYSOOSS</t>
  </si>
  <si>
    <t xml:space="preserve">HEAD SHOULDERS </t>
  </si>
  <si>
    <t xml:space="preserve">SALOME ACONDICIONADOR </t>
  </si>
  <si>
    <t>SHAMPOO COLA CABALLO</t>
  </si>
  <si>
    <t>LOCION SALOME</t>
  </si>
  <si>
    <t>CREMA SEDAL</t>
  </si>
  <si>
    <t>CREMA PANTENE</t>
  </si>
  <si>
    <t>MATERNITY BASICAS</t>
  </si>
  <si>
    <t>MATERNITY PLUS</t>
  </si>
  <si>
    <t>PALMOLIVE JABON*3</t>
  </si>
  <si>
    <t>PROTEX JABON *3</t>
  </si>
  <si>
    <t>NOSOTRAS BUENAS NOCHES</t>
  </si>
  <si>
    <t>NOSOTRAS BASIC</t>
  </si>
  <si>
    <t>HEALTHY NOCHE</t>
  </si>
  <si>
    <t>NOSOTROS DIARIOS</t>
  </si>
  <si>
    <t>ANGELA TOALLAS</t>
  </si>
  <si>
    <t>TAMPON NOSOTRAS REGULAR *10</t>
  </si>
  <si>
    <t>GELICART ACCCION</t>
  </si>
  <si>
    <t>COLNATUR COMPLEX</t>
  </si>
  <si>
    <t>NUTRIGEL</t>
  </si>
  <si>
    <t>GELICART NORMAL</t>
  </si>
  <si>
    <t>ACEITE COCO</t>
  </si>
  <si>
    <t>ACEITE ALMENDRAS</t>
  </si>
  <si>
    <t>ACEITE RICINO</t>
  </si>
  <si>
    <t>JABON INTIMO PH</t>
  </si>
  <si>
    <t>JABON INTIMO NOSOTRAS</t>
  </si>
  <si>
    <t>MORINGA</t>
  </si>
  <si>
    <t>ALOE</t>
  </si>
  <si>
    <t>CLORURO MG</t>
  </si>
  <si>
    <t>TENA BASIC M*9</t>
  </si>
  <si>
    <t>PRUDENTIAL L CONFORT</t>
  </si>
  <si>
    <t>GEL EGO ATRACCION 90G</t>
  </si>
  <si>
    <t>GUANTES DE CIRUGIA #7</t>
  </si>
  <si>
    <t>GUANTES DE CIRUGIA #7.5</t>
  </si>
  <si>
    <t>GUANTES DE CIRUGIA #8.5</t>
  </si>
  <si>
    <t>GUANTES DE MANEJO M POR U</t>
  </si>
  <si>
    <t>CATETER #20</t>
  </si>
  <si>
    <t>CATETER #22</t>
  </si>
  <si>
    <t>CAJAS DE GUATES DE MANEJO M</t>
  </si>
  <si>
    <t>BISTURI  #21</t>
  </si>
  <si>
    <t>BISTURI  #10</t>
  </si>
  <si>
    <t>MEDIAS ANTIEMBOLICAS M</t>
  </si>
  <si>
    <t>CLORURO DE SODIO 100ML</t>
  </si>
  <si>
    <t>MASCARILLA NEBULIZADOR AD</t>
  </si>
  <si>
    <t>MASCARILLA NEBULIZADOR NIÑO</t>
  </si>
  <si>
    <t>JERINGAS 20 ML</t>
  </si>
  <si>
    <t>CATER #18</t>
  </si>
  <si>
    <t>JERINGAS 3 ML</t>
  </si>
  <si>
    <t>JERINGAS 10ML</t>
  </si>
  <si>
    <t>JERINAS 5ML</t>
  </si>
  <si>
    <t>JERINJA INSULINA</t>
  </si>
  <si>
    <t>TENSOPLAS 7.5</t>
  </si>
  <si>
    <t>ALCANFOR</t>
  </si>
  <si>
    <t>AGUA OXIGENADA 10°</t>
  </si>
  <si>
    <t>MIEL ROSADA</t>
  </si>
  <si>
    <t>VALERIANA</t>
  </si>
  <si>
    <t>VINAGRE CASTILLA</t>
  </si>
  <si>
    <t>FISIOL SPRY</t>
  </si>
  <si>
    <t>LIRA SOLUCION FISIOLOGICA</t>
  </si>
  <si>
    <t>ESPARADRAPO  2.5</t>
  </si>
  <si>
    <t>RECOLECTOR PEDIATRICO NIÑO</t>
  </si>
  <si>
    <t>RECOLECTOR PEDIATRICO NIÑA</t>
  </si>
  <si>
    <t>VENDA DE GASA 3</t>
  </si>
  <si>
    <t>VENDA GASA 6</t>
  </si>
  <si>
    <t>VENDA GASA 4</t>
  </si>
  <si>
    <t>VENDA RIGIDA 6</t>
  </si>
  <si>
    <t>VENDA WATTA 8 Y 4</t>
  </si>
  <si>
    <t>VENDA DE YESO 8</t>
  </si>
  <si>
    <t>GASA</t>
  </si>
  <si>
    <t>SACALENGUA</t>
  </si>
  <si>
    <t>BORAX</t>
  </si>
  <si>
    <t>RECOLECTOR ORINA</t>
  </si>
  <si>
    <t>RECOLECTOR ECES</t>
  </si>
  <si>
    <t>MASCARILLA N 95</t>
  </si>
  <si>
    <t>REDOXON TOTAL POR TRES</t>
  </si>
  <si>
    <t>CIPRLOFLOXACINA 750</t>
  </si>
  <si>
    <t>CIPROFLOXACINO 500 DISA</t>
  </si>
  <si>
    <t>IBUWIN 600</t>
  </si>
  <si>
    <t>DICLOFENACO 50MG C/P</t>
  </si>
  <si>
    <t>DICLOFENACO AZUL 100</t>
  </si>
  <si>
    <t>AGUA BIDESTILADA 5ML</t>
  </si>
  <si>
    <t>AGUA ESTERIL 10ML</t>
  </si>
  <si>
    <t>AMLODIPINO 5MG NIFA</t>
  </si>
  <si>
    <t>AMLODIPINO 5MG CP</t>
  </si>
  <si>
    <t>AMPICILINA 1 GRAMO C.P</t>
  </si>
  <si>
    <t>ATORVASTATINA 20MG</t>
  </si>
  <si>
    <t>AZITROMICINA GENERICA CP</t>
  </si>
  <si>
    <t>CEFTRIAXONA 1GR</t>
  </si>
  <si>
    <t>CLOTRIMOXAZOL TB</t>
  </si>
  <si>
    <t>CLINDAMICINA</t>
  </si>
  <si>
    <t xml:space="preserve">DESLORATADINA </t>
  </si>
  <si>
    <t>ESOMEPRAZOL 40MG</t>
  </si>
  <si>
    <t xml:space="preserve">LEVOFLOXACINA 500 </t>
  </si>
  <si>
    <t>LORATADINA C/P</t>
  </si>
  <si>
    <t>RANITIDINA 300MG</t>
  </si>
  <si>
    <t>RANITIDINA 150MG</t>
  </si>
  <si>
    <t>VITA C C/P</t>
  </si>
  <si>
    <t>CETIRIZINA PORTUGAL</t>
  </si>
  <si>
    <t>PRUEBA EMBARAZO</t>
  </si>
  <si>
    <t>AMBROXOL15ML</t>
  </si>
  <si>
    <t>TOALLAS LADY</t>
  </si>
  <si>
    <t>PAÑOS JHONSON  *48U</t>
  </si>
  <si>
    <t>KENOLIC</t>
  </si>
  <si>
    <t>IBUWIN 400</t>
  </si>
  <si>
    <t>MESULID NILIDEX SOBRES</t>
  </si>
  <si>
    <t>FLUZETRIN JB</t>
  </si>
  <si>
    <t>LORATADINA JB</t>
  </si>
  <si>
    <t>VOLTAREN GEL 30G</t>
  </si>
  <si>
    <t>MULGATOL JALEA</t>
  </si>
  <si>
    <t>AMOXICILINA + AC CLAVULA C/P 500</t>
  </si>
  <si>
    <t>CELECOXIB</t>
  </si>
  <si>
    <t>DOLOTAMOL JB</t>
  </si>
  <si>
    <t>GENTAMICINA AMPOLLAS 80MG</t>
  </si>
  <si>
    <t>ITROCONAZOL TB</t>
  </si>
  <si>
    <t>LACTULOSA</t>
  </si>
  <si>
    <t>PIX</t>
  </si>
  <si>
    <t>FORMOL 60ML</t>
  </si>
  <si>
    <t>DUO RETARDANTE PRESERVATIVOS</t>
  </si>
  <si>
    <t>PRESERVATIVOS SURE *3</t>
  </si>
  <si>
    <t>VESELINA MEDIANA 90°</t>
  </si>
  <si>
    <t>PARCHE LEON</t>
  </si>
  <si>
    <t>GADUOL COMPUESTO</t>
  </si>
  <si>
    <t>VISINA ORIGINAL</t>
  </si>
  <si>
    <t>CHUPON CARLITOS</t>
  </si>
  <si>
    <t>STAYFREE NORMAL</t>
  </si>
  <si>
    <t>FISIOL 60ML NF</t>
  </si>
  <si>
    <t>SUERO FISIOL 100</t>
  </si>
  <si>
    <t>TINTE DUO</t>
  </si>
  <si>
    <t>SHAMPOO LIQUIDO NATIVA</t>
  </si>
  <si>
    <t>TALCO SANA PIES</t>
  </si>
  <si>
    <t>MEXANA</t>
  </si>
  <si>
    <t>MICROGYNON 21</t>
  </si>
  <si>
    <t>METFORMINA 1 GRA</t>
  </si>
  <si>
    <t>TERBINAFINA CREMA</t>
  </si>
  <si>
    <t>VITAMINAS INYECCION</t>
  </si>
  <si>
    <t>ALTACEF CEFUR 500</t>
  </si>
  <si>
    <t>SENSODYNE LIMPIEZA</t>
  </si>
  <si>
    <t>DESODERANTE SAVITAL</t>
  </si>
  <si>
    <t>FORTIDENT</t>
  </si>
  <si>
    <t>TALCO MICOZ</t>
  </si>
  <si>
    <t>SPED STIK</t>
  </si>
  <si>
    <t xml:space="preserve">PULVAPIES </t>
  </si>
  <si>
    <t>TALCO REXONA 60G</t>
  </si>
  <si>
    <t>REXONA TALCO 200G</t>
  </si>
  <si>
    <t>GINGIVI+ ENJUAGE</t>
  </si>
  <si>
    <t>COLGATE PLAX 180ML</t>
  </si>
  <si>
    <t>CARDIOASPIRINA</t>
  </si>
  <si>
    <t>ISLAMINT</t>
  </si>
  <si>
    <t>MESULID NILIDEX TB</t>
  </si>
  <si>
    <t>BROMHEXINA JB</t>
  </si>
  <si>
    <t>COMPFENAK</t>
  </si>
  <si>
    <t>IBUPROFENO FORTE JB</t>
  </si>
  <si>
    <t xml:space="preserve">LOSARTAN 50 </t>
  </si>
  <si>
    <t>TERVIR</t>
  </si>
  <si>
    <t xml:space="preserve">Codigo Producto </t>
  </si>
  <si>
    <t xml:space="preserve">Cantidad máxima </t>
  </si>
  <si>
    <t>Cantidad mínina</t>
  </si>
  <si>
    <t>Estado</t>
  </si>
  <si>
    <t>FCV-1</t>
  </si>
  <si>
    <t>FCV-2</t>
  </si>
  <si>
    <t>FCV-3</t>
  </si>
  <si>
    <t>FCV-4</t>
  </si>
  <si>
    <t>FCV-5</t>
  </si>
  <si>
    <t>FCV-6</t>
  </si>
  <si>
    <t>FCV-7</t>
  </si>
  <si>
    <t>FCV-8</t>
  </si>
  <si>
    <t>FCV-9</t>
  </si>
  <si>
    <t>FCV-10</t>
  </si>
  <si>
    <t>FCV-11</t>
  </si>
  <si>
    <t>FCV-12</t>
  </si>
  <si>
    <t>FCV-13</t>
  </si>
  <si>
    <t>FCV-14</t>
  </si>
  <si>
    <t>FCV-15</t>
  </si>
  <si>
    <t>FCV-16</t>
  </si>
  <si>
    <t>FCV-17</t>
  </si>
  <si>
    <t>FCV-18</t>
  </si>
  <si>
    <t>FCV-19</t>
  </si>
  <si>
    <t>FCV-20</t>
  </si>
  <si>
    <t>FCV-21</t>
  </si>
  <si>
    <t>FCV-22</t>
  </si>
  <si>
    <t>FCV-23</t>
  </si>
  <si>
    <t>FCV-24</t>
  </si>
  <si>
    <t>FCV-25</t>
  </si>
  <si>
    <t>FCV-26</t>
  </si>
  <si>
    <t>FCV-27</t>
  </si>
  <si>
    <t>FCV-28</t>
  </si>
  <si>
    <t>FCV-29</t>
  </si>
  <si>
    <t>FCV-30</t>
  </si>
  <si>
    <t>FCV-31</t>
  </si>
  <si>
    <t>FCV-32</t>
  </si>
  <si>
    <t>FCV-33</t>
  </si>
  <si>
    <t>FCV-34</t>
  </si>
  <si>
    <t>FCV-35</t>
  </si>
  <si>
    <t>FCV-36</t>
  </si>
  <si>
    <t>FCV-37</t>
  </si>
  <si>
    <t>FCV-38</t>
  </si>
  <si>
    <t>FCV-39</t>
  </si>
  <si>
    <t>FCV-40</t>
  </si>
  <si>
    <t>FCV-41</t>
  </si>
  <si>
    <t>FCV-42</t>
  </si>
  <si>
    <t>FCV-43</t>
  </si>
  <si>
    <t>FCV-44</t>
  </si>
  <si>
    <t>FCV-45</t>
  </si>
  <si>
    <t>FCV-46</t>
  </si>
  <si>
    <t>FCV-47</t>
  </si>
  <si>
    <t>FCV-48</t>
  </si>
  <si>
    <t>FCV-49</t>
  </si>
  <si>
    <t>FCV-50</t>
  </si>
  <si>
    <t>FCV-51</t>
  </si>
  <si>
    <t>FCV-52</t>
  </si>
  <si>
    <t>FCV-53</t>
  </si>
  <si>
    <t>FCV-54</t>
  </si>
  <si>
    <t>FCV-55</t>
  </si>
  <si>
    <t>FCV-56</t>
  </si>
  <si>
    <t>FCV-57</t>
  </si>
  <si>
    <t>FCV-58</t>
  </si>
  <si>
    <t>FCV-59</t>
  </si>
  <si>
    <t>FCV-60</t>
  </si>
  <si>
    <t>FCV-61</t>
  </si>
  <si>
    <t>FCV-62</t>
  </si>
  <si>
    <t>FCV-63</t>
  </si>
  <si>
    <t>FCV-64</t>
  </si>
  <si>
    <t>FCV-65</t>
  </si>
  <si>
    <t>FCV-66</t>
  </si>
  <si>
    <t>FCV-67</t>
  </si>
  <si>
    <t>FCV-68</t>
  </si>
  <si>
    <t>FCV-69</t>
  </si>
  <si>
    <t>FCV-70</t>
  </si>
  <si>
    <t>FCV-71</t>
  </si>
  <si>
    <t>FCV-72</t>
  </si>
  <si>
    <t>FCV-73</t>
  </si>
  <si>
    <t>FCV-74</t>
  </si>
  <si>
    <t>FCV-75</t>
  </si>
  <si>
    <t>FCV-76</t>
  </si>
  <si>
    <t>FCV-77</t>
  </si>
  <si>
    <t>FCV-78</t>
  </si>
  <si>
    <t>FCV-79</t>
  </si>
  <si>
    <t>FCV-80</t>
  </si>
  <si>
    <t>FCV-81</t>
  </si>
  <si>
    <t>FCV-82</t>
  </si>
  <si>
    <t>FCV-83</t>
  </si>
  <si>
    <t>FCV-84</t>
  </si>
  <si>
    <t>FCV-85</t>
  </si>
  <si>
    <t>FCV-86</t>
  </si>
  <si>
    <t>FCV-87</t>
  </si>
  <si>
    <t>FCV-88</t>
  </si>
  <si>
    <t>FCV-89</t>
  </si>
  <si>
    <t>FCV-90</t>
  </si>
  <si>
    <t>FCV-91</t>
  </si>
  <si>
    <t>FCV-92</t>
  </si>
  <si>
    <t>FCV-93</t>
  </si>
  <si>
    <t>FCV-94</t>
  </si>
  <si>
    <t>FCV-95</t>
  </si>
  <si>
    <t>FCV-96</t>
  </si>
  <si>
    <t>FCV-97</t>
  </si>
  <si>
    <t>FCV-98</t>
  </si>
  <si>
    <t>FCV-99</t>
  </si>
  <si>
    <t>FCV-100</t>
  </si>
  <si>
    <t>FCV-101</t>
  </si>
  <si>
    <t>FCV-102</t>
  </si>
  <si>
    <t>FCV-103</t>
  </si>
  <si>
    <t>FCV-104</t>
  </si>
  <si>
    <t>FCV-105</t>
  </si>
  <si>
    <t>FCV-106</t>
  </si>
  <si>
    <t>FCV-107</t>
  </si>
  <si>
    <t>FCV-108</t>
  </si>
  <si>
    <t>FCV-109</t>
  </si>
  <si>
    <t>FCV-110</t>
  </si>
  <si>
    <t>FCV-111</t>
  </si>
  <si>
    <t>FCV-112</t>
  </si>
  <si>
    <t>FCV-113</t>
  </si>
  <si>
    <t>FCV-114</t>
  </si>
  <si>
    <t>FCV-115</t>
  </si>
  <si>
    <t>FCV-116</t>
  </si>
  <si>
    <t>FCV-117</t>
  </si>
  <si>
    <t>FCV-118</t>
  </si>
  <si>
    <t>FCV-119</t>
  </si>
  <si>
    <t>FCV-120</t>
  </si>
  <si>
    <t>FCV-121</t>
  </si>
  <si>
    <t>FCV-122</t>
  </si>
  <si>
    <t>FCV-123</t>
  </si>
  <si>
    <t>FCV-124</t>
  </si>
  <si>
    <t>FCV-125</t>
  </si>
  <si>
    <t>FCV-126</t>
  </si>
  <si>
    <t>FCV-127</t>
  </si>
  <si>
    <t>FCV-128</t>
  </si>
  <si>
    <t>FCV-129</t>
  </si>
  <si>
    <t>FCV-130</t>
  </si>
  <si>
    <t>FCV-131</t>
  </si>
  <si>
    <t>FCV-132</t>
  </si>
  <si>
    <t>FCV-133</t>
  </si>
  <si>
    <t>FCV-134</t>
  </si>
  <si>
    <t>FCV-135</t>
  </si>
  <si>
    <t>FCV-136</t>
  </si>
  <si>
    <t>FCV-137</t>
  </si>
  <si>
    <t>FCV-138</t>
  </si>
  <si>
    <t>FCV-139</t>
  </si>
  <si>
    <t>FCV-140</t>
  </si>
  <si>
    <t>FCV-141</t>
  </si>
  <si>
    <t>FCV-142</t>
  </si>
  <si>
    <t>FCV-143</t>
  </si>
  <si>
    <t>FCV-144</t>
  </si>
  <si>
    <t>FCV-145</t>
  </si>
  <si>
    <t>FCV-146</t>
  </si>
  <si>
    <t>FCV-147</t>
  </si>
  <si>
    <t>FCV-148</t>
  </si>
  <si>
    <t>FCV-149</t>
  </si>
  <si>
    <t>FCV-150</t>
  </si>
  <si>
    <t>FCV-151</t>
  </si>
  <si>
    <t>FCV-152</t>
  </si>
  <si>
    <t>FCV-153</t>
  </si>
  <si>
    <t>FCV-154</t>
  </si>
  <si>
    <t>FCV-155</t>
  </si>
  <si>
    <t>FCV-156</t>
  </si>
  <si>
    <t>FCV-157</t>
  </si>
  <si>
    <t>FCV-158</t>
  </si>
  <si>
    <t>FCV-159</t>
  </si>
  <si>
    <t>FCV-160</t>
  </si>
  <si>
    <t>FCV-161</t>
  </si>
  <si>
    <t>FCV-162</t>
  </si>
  <si>
    <t>FCV-163</t>
  </si>
  <si>
    <t>FCV-164</t>
  </si>
  <si>
    <t>FCV-165</t>
  </si>
  <si>
    <t>FCV-166</t>
  </si>
  <si>
    <t>FCV-167</t>
  </si>
  <si>
    <t>FCV-168</t>
  </si>
  <si>
    <t>FCV-169</t>
  </si>
  <si>
    <t>FCV-170</t>
  </si>
  <si>
    <t>FCV-171</t>
  </si>
  <si>
    <t>FCV-172</t>
  </si>
  <si>
    <t>FCV-173</t>
  </si>
  <si>
    <t>FCV-174</t>
  </si>
  <si>
    <t>FCV-175</t>
  </si>
  <si>
    <t>FCV-176</t>
  </si>
  <si>
    <t>FCV-177</t>
  </si>
  <si>
    <t>FCV-178</t>
  </si>
  <si>
    <t>FCV-179</t>
  </si>
  <si>
    <t>FCV-180</t>
  </si>
  <si>
    <t>FCV-181</t>
  </si>
  <si>
    <t>FCV-182</t>
  </si>
  <si>
    <t>FCV-183</t>
  </si>
  <si>
    <t>FCV-184</t>
  </si>
  <si>
    <t>FCV-185</t>
  </si>
  <si>
    <t>FCV-186</t>
  </si>
  <si>
    <t>FCV-187</t>
  </si>
  <si>
    <t>FCV-188</t>
  </si>
  <si>
    <t>FCV-189</t>
  </si>
  <si>
    <t>FCV-190</t>
  </si>
  <si>
    <t>FCV-191</t>
  </si>
  <si>
    <t>FCV-192</t>
  </si>
  <si>
    <t>FCV-193</t>
  </si>
  <si>
    <t>FCV-194</t>
  </si>
  <si>
    <t>FCV-195</t>
  </si>
  <si>
    <t>FCV-196</t>
  </si>
  <si>
    <t>FCV-197</t>
  </si>
  <si>
    <t>FCV-198</t>
  </si>
  <si>
    <t>FCV-199</t>
  </si>
  <si>
    <t>FCV-200</t>
  </si>
  <si>
    <t>FCV-201</t>
  </si>
  <si>
    <t>FCV-202</t>
  </si>
  <si>
    <t>FCV-203</t>
  </si>
  <si>
    <t>FCV-204</t>
  </si>
  <si>
    <t>FCV-205</t>
  </si>
  <si>
    <t>FCV-206</t>
  </si>
  <si>
    <t>FCV-207</t>
  </si>
  <si>
    <t>FCV-208</t>
  </si>
  <si>
    <t>FCV-209</t>
  </si>
  <si>
    <t>FCV-210</t>
  </si>
  <si>
    <t>FCV-211</t>
  </si>
  <si>
    <t>FCV-212</t>
  </si>
  <si>
    <t>FCV-213</t>
  </si>
  <si>
    <t>FCV-214</t>
  </si>
  <si>
    <t>FCV-215</t>
  </si>
  <si>
    <t>FCV-216</t>
  </si>
  <si>
    <t>FCV-217</t>
  </si>
  <si>
    <t>FCV-218</t>
  </si>
  <si>
    <t>FCV-219</t>
  </si>
  <si>
    <t>FCV-220</t>
  </si>
  <si>
    <t>FCV-221</t>
  </si>
  <si>
    <t>FCV-222</t>
  </si>
  <si>
    <t>FCV-223</t>
  </si>
  <si>
    <t>FCV-224</t>
  </si>
  <si>
    <t>FCV-225</t>
  </si>
  <si>
    <t>FCV-226</t>
  </si>
  <si>
    <t>FCV-227</t>
  </si>
  <si>
    <t>FCV-228</t>
  </si>
  <si>
    <t>FCV-229</t>
  </si>
  <si>
    <t>FCV-230</t>
  </si>
  <si>
    <t>FCV-231</t>
  </si>
  <si>
    <t>FCV-232</t>
  </si>
  <si>
    <t>FCV-233</t>
  </si>
  <si>
    <t>FCV-234</t>
  </si>
  <si>
    <t>FCV-235</t>
  </si>
  <si>
    <t>FCV-236</t>
  </si>
  <si>
    <t>FCV-237</t>
  </si>
  <si>
    <t>FCV-238</t>
  </si>
  <si>
    <t>FCV-239</t>
  </si>
  <si>
    <t>FCV-240</t>
  </si>
  <si>
    <t>FCV-241</t>
  </si>
  <si>
    <t>FCV-242</t>
  </si>
  <si>
    <t>FCV-243</t>
  </si>
  <si>
    <t>FCV-244</t>
  </si>
  <si>
    <t>FCV-245</t>
  </si>
  <si>
    <t>FCV-246</t>
  </si>
  <si>
    <t>FCV-247</t>
  </si>
  <si>
    <t>FCV-248</t>
  </si>
  <si>
    <t>FCV-249</t>
  </si>
  <si>
    <t>FCV-250</t>
  </si>
  <si>
    <t>FCV-251</t>
  </si>
  <si>
    <t>FCV-252</t>
  </si>
  <si>
    <t>FCV-253</t>
  </si>
  <si>
    <t>FCV-254</t>
  </si>
  <si>
    <t>FCV-255</t>
  </si>
  <si>
    <t>FCV-256</t>
  </si>
  <si>
    <t>FCV-257</t>
  </si>
  <si>
    <t>FCV-258</t>
  </si>
  <si>
    <t>FCV-259</t>
  </si>
  <si>
    <t>FCV-260</t>
  </si>
  <si>
    <t>FCV-261</t>
  </si>
  <si>
    <t>FCV-262</t>
  </si>
  <si>
    <t>FCV-263</t>
  </si>
  <si>
    <t>FCV-264</t>
  </si>
  <si>
    <t>FCV-265</t>
  </si>
  <si>
    <t>FCV-266</t>
  </si>
  <si>
    <t>FCV-267</t>
  </si>
  <si>
    <t>FCV-268</t>
  </si>
  <si>
    <t>FCV-269</t>
  </si>
  <si>
    <t>FCV-270</t>
  </si>
  <si>
    <t>FCV-271</t>
  </si>
  <si>
    <t>FCV-272</t>
  </si>
  <si>
    <t>FCV-273</t>
  </si>
  <si>
    <t>FCV-274</t>
  </si>
  <si>
    <t>FCV-275</t>
  </si>
  <si>
    <t>FCV-276</t>
  </si>
  <si>
    <t>FCV-277</t>
  </si>
  <si>
    <t>FCV-278</t>
  </si>
  <si>
    <t>FCV-279</t>
  </si>
  <si>
    <t>FCV-280</t>
  </si>
  <si>
    <t>FCV-281</t>
  </si>
  <si>
    <t>FCV-282</t>
  </si>
  <si>
    <t>FCV-283</t>
  </si>
  <si>
    <t>FCV-284</t>
  </si>
  <si>
    <t>FCV-285</t>
  </si>
  <si>
    <t>FCV-286</t>
  </si>
  <si>
    <t>FCV-287</t>
  </si>
  <si>
    <t>FCV-288</t>
  </si>
  <si>
    <t>FCV-289</t>
  </si>
  <si>
    <t>FCV-290</t>
  </si>
  <si>
    <t>FCV-291</t>
  </si>
  <si>
    <t>FCV-292</t>
  </si>
  <si>
    <t>FCV-293</t>
  </si>
  <si>
    <t>FCV-294</t>
  </si>
  <si>
    <t>FCV-295</t>
  </si>
  <si>
    <t>FCV-296</t>
  </si>
  <si>
    <t>FCV-297</t>
  </si>
  <si>
    <t>FCV-298</t>
  </si>
  <si>
    <t>FCV-299</t>
  </si>
  <si>
    <t>FCV-300</t>
  </si>
  <si>
    <t>FCV-301</t>
  </si>
  <si>
    <t>FCV-302</t>
  </si>
  <si>
    <t>FCV-303</t>
  </si>
  <si>
    <t>FCV-304</t>
  </si>
  <si>
    <t>FCV-305</t>
  </si>
  <si>
    <t>FCV-306</t>
  </si>
  <si>
    <t>FCV-307</t>
  </si>
  <si>
    <t>FCV-308</t>
  </si>
  <si>
    <t>FCV-309</t>
  </si>
  <si>
    <t>FCV-310</t>
  </si>
  <si>
    <t>FCV-311</t>
  </si>
  <si>
    <t>FCV-312</t>
  </si>
  <si>
    <t>FCV-313</t>
  </si>
  <si>
    <t>FCV-314</t>
  </si>
  <si>
    <t>FCV-315</t>
  </si>
  <si>
    <t>FCV-316</t>
  </si>
  <si>
    <t>FCV-317</t>
  </si>
  <si>
    <t>FCV-318</t>
  </si>
  <si>
    <t>FCV-319</t>
  </si>
  <si>
    <t>FCV-320</t>
  </si>
  <si>
    <t>FCV-321</t>
  </si>
  <si>
    <t>FCV-322</t>
  </si>
  <si>
    <t>FCV-323</t>
  </si>
  <si>
    <t>FCV-324</t>
  </si>
  <si>
    <t>FCV-325</t>
  </si>
  <si>
    <t>FCV-326</t>
  </si>
  <si>
    <t>FCV-327</t>
  </si>
  <si>
    <t>FCV-328</t>
  </si>
  <si>
    <t>FCV-329</t>
  </si>
  <si>
    <t>FCV-330</t>
  </si>
  <si>
    <t>FCV-331</t>
  </si>
  <si>
    <t>FCV-332</t>
  </si>
  <si>
    <t>FCV-333</t>
  </si>
  <si>
    <t>FCV-334</t>
  </si>
  <si>
    <t>FCV-335</t>
  </si>
  <si>
    <t>FCV-336</t>
  </si>
  <si>
    <t>FCV-337</t>
  </si>
  <si>
    <t>FCV-338</t>
  </si>
  <si>
    <t>FCV-339</t>
  </si>
  <si>
    <t>FCV-340</t>
  </si>
  <si>
    <t>FCV-341</t>
  </si>
  <si>
    <t>FCV-342</t>
  </si>
  <si>
    <t>FCV-343</t>
  </si>
  <si>
    <t>FCV-344</t>
  </si>
  <si>
    <t>FCV-345</t>
  </si>
  <si>
    <t>FCV-346</t>
  </si>
  <si>
    <t>FCV-347</t>
  </si>
  <si>
    <t>FCV-348</t>
  </si>
  <si>
    <t>FCV-349</t>
  </si>
  <si>
    <t>FCV-350</t>
  </si>
  <si>
    <t>FCV-351</t>
  </si>
  <si>
    <t>FCV-352</t>
  </si>
  <si>
    <t>FCV-353</t>
  </si>
  <si>
    <t>FCV-354</t>
  </si>
  <si>
    <t>FCV-355</t>
  </si>
  <si>
    <t>FCV-356</t>
  </si>
  <si>
    <t>FCV-357</t>
  </si>
  <si>
    <t>FCV-358</t>
  </si>
  <si>
    <t>FCV-359</t>
  </si>
  <si>
    <t>FCV-360</t>
  </si>
  <si>
    <t>FCV-361</t>
  </si>
  <si>
    <t>FCV-362</t>
  </si>
  <si>
    <t>FCV-363</t>
  </si>
  <si>
    <t>FCV-364</t>
  </si>
  <si>
    <t>FCV-365</t>
  </si>
  <si>
    <t>FCV-366</t>
  </si>
  <si>
    <t>FCV-367</t>
  </si>
  <si>
    <t>FCV-368</t>
  </si>
  <si>
    <t>FCV-369</t>
  </si>
  <si>
    <t>FCV-370</t>
  </si>
  <si>
    <t>FCV-371</t>
  </si>
  <si>
    <t>FCV-372</t>
  </si>
  <si>
    <t>FCV-373</t>
  </si>
  <si>
    <t>FCV-374</t>
  </si>
  <si>
    <t>FCV-375</t>
  </si>
  <si>
    <t>FCV-376</t>
  </si>
  <si>
    <t>FCV-377</t>
  </si>
  <si>
    <t>FCV-378</t>
  </si>
  <si>
    <t>FCV-379</t>
  </si>
  <si>
    <t>FCV-380</t>
  </si>
  <si>
    <t>FCV-381</t>
  </si>
  <si>
    <t>FCV-382</t>
  </si>
  <si>
    <t>FCV-383</t>
  </si>
  <si>
    <t>FCV-384</t>
  </si>
  <si>
    <t>FCV-385</t>
  </si>
  <si>
    <t>FCV-386</t>
  </si>
  <si>
    <t>FCV-387</t>
  </si>
  <si>
    <t>FCV-388</t>
  </si>
  <si>
    <t>FCV-389</t>
  </si>
  <si>
    <t>FCV-390</t>
  </si>
  <si>
    <t>FCV-391</t>
  </si>
  <si>
    <t>FCV-392</t>
  </si>
  <si>
    <t>FCV-393</t>
  </si>
  <si>
    <t>FCV-394</t>
  </si>
  <si>
    <t>FCV-395</t>
  </si>
  <si>
    <t>FCV-396</t>
  </si>
  <si>
    <t>FCV-397</t>
  </si>
  <si>
    <t>FCV-398</t>
  </si>
  <si>
    <t>FCV-399</t>
  </si>
  <si>
    <t>FCV-400</t>
  </si>
  <si>
    <t>FCV-401</t>
  </si>
  <si>
    <t>FCV-402</t>
  </si>
  <si>
    <t>FCV-403</t>
  </si>
  <si>
    <t>FCV-404</t>
  </si>
  <si>
    <t>FCV-405</t>
  </si>
  <si>
    <t>FCV-406</t>
  </si>
  <si>
    <t>FCV-407</t>
  </si>
  <si>
    <t>FCV-408</t>
  </si>
  <si>
    <t>FCV-409</t>
  </si>
  <si>
    <t>FCV-410</t>
  </si>
  <si>
    <t>FCV-411</t>
  </si>
  <si>
    <t>FCV-412</t>
  </si>
  <si>
    <t>FCV-413</t>
  </si>
  <si>
    <t>FCV-414</t>
  </si>
  <si>
    <t>FCV-415</t>
  </si>
  <si>
    <t>FCV-416</t>
  </si>
  <si>
    <t>FCV-417</t>
  </si>
  <si>
    <t>FCV-418</t>
  </si>
  <si>
    <t>FCV-419</t>
  </si>
  <si>
    <t>FCV-420</t>
  </si>
  <si>
    <t>FCV-421</t>
  </si>
  <si>
    <t>FCV-422</t>
  </si>
  <si>
    <t>FCV-423</t>
  </si>
  <si>
    <t>FCV-424</t>
  </si>
  <si>
    <t>FCV-425</t>
  </si>
  <si>
    <t>FCV-426</t>
  </si>
  <si>
    <t>FCV-427</t>
  </si>
  <si>
    <t>FCV-428</t>
  </si>
  <si>
    <t>FCV-429</t>
  </si>
  <si>
    <t>FCV-430</t>
  </si>
  <si>
    <t>FCV-431</t>
  </si>
  <si>
    <t>FCV-432</t>
  </si>
  <si>
    <t>FCV-433</t>
  </si>
  <si>
    <t>FCV-434</t>
  </si>
  <si>
    <t>FCV-435</t>
  </si>
  <si>
    <t>FCV-436</t>
  </si>
  <si>
    <t>FCV-437</t>
  </si>
  <si>
    <t>FCV-438</t>
  </si>
  <si>
    <t>FCV-439</t>
  </si>
  <si>
    <t>FCV-440</t>
  </si>
  <si>
    <t>FCV-441</t>
  </si>
  <si>
    <t>FCV-442</t>
  </si>
  <si>
    <t>FCV-443</t>
  </si>
  <si>
    <t>FCV-444</t>
  </si>
  <si>
    <t>FCV-445</t>
  </si>
  <si>
    <t>FCV-446</t>
  </si>
  <si>
    <t>FCV-447</t>
  </si>
  <si>
    <t>FCV-448</t>
  </si>
  <si>
    <t>FCV-449</t>
  </si>
  <si>
    <t>FCV-450</t>
  </si>
  <si>
    <t>FCV-451</t>
  </si>
  <si>
    <t>FCV-452</t>
  </si>
  <si>
    <t>FCV-453</t>
  </si>
  <si>
    <t>FCV-454</t>
  </si>
  <si>
    <t>FCV-455</t>
  </si>
  <si>
    <t>FCV-456</t>
  </si>
  <si>
    <t>FCV-457</t>
  </si>
  <si>
    <t>FCV-458</t>
  </si>
  <si>
    <t>FCV-459</t>
  </si>
  <si>
    <t>FCV-460</t>
  </si>
  <si>
    <t>FCV-461</t>
  </si>
  <si>
    <t>FCV-462</t>
  </si>
  <si>
    <t>FCV-463</t>
  </si>
  <si>
    <t>FCV-464</t>
  </si>
  <si>
    <t>FCV-465</t>
  </si>
  <si>
    <t>FCV-466</t>
  </si>
  <si>
    <t>FCV-467</t>
  </si>
  <si>
    <t>FCV-468</t>
  </si>
  <si>
    <t>FCV-469</t>
  </si>
  <si>
    <t>FCV-470</t>
  </si>
  <si>
    <t>FCV-471</t>
  </si>
  <si>
    <t>FCV-472</t>
  </si>
  <si>
    <t>FCV-473</t>
  </si>
  <si>
    <t>FCV-474</t>
  </si>
  <si>
    <t>FCV-475</t>
  </si>
  <si>
    <t>FCV-476</t>
  </si>
  <si>
    <t>FCV-477</t>
  </si>
  <si>
    <t>FCV-478</t>
  </si>
  <si>
    <t>FCV-479</t>
  </si>
  <si>
    <t>FCV-480</t>
  </si>
  <si>
    <t>FCV-481</t>
  </si>
  <si>
    <t>FCV-482</t>
  </si>
  <si>
    <t>FCV-483</t>
  </si>
  <si>
    <t>FCV-484</t>
  </si>
  <si>
    <t>FCV-485</t>
  </si>
  <si>
    <t>FCV-486</t>
  </si>
  <si>
    <t>FCV-487</t>
  </si>
  <si>
    <t>FCV-488</t>
  </si>
  <si>
    <t>FCV-489</t>
  </si>
  <si>
    <t>FCV-490</t>
  </si>
  <si>
    <t>FCV-491</t>
  </si>
  <si>
    <t>FCV-492</t>
  </si>
  <si>
    <t>FCV-493</t>
  </si>
  <si>
    <t>FCV-494</t>
  </si>
  <si>
    <t>FCV-495</t>
  </si>
  <si>
    <t>FCV-496</t>
  </si>
  <si>
    <t>FCV-497</t>
  </si>
  <si>
    <t>FCV-498</t>
  </si>
  <si>
    <t>FCV-499</t>
  </si>
  <si>
    <t>FCV-500</t>
  </si>
  <si>
    <t>FCV-501</t>
  </si>
  <si>
    <t>FCV-502</t>
  </si>
  <si>
    <t>FCV-503</t>
  </si>
  <si>
    <t>FCV-504</t>
  </si>
  <si>
    <t>FCV-505</t>
  </si>
  <si>
    <t>FCV-506</t>
  </si>
  <si>
    <t>FCV-507</t>
  </si>
  <si>
    <t>FCV-508</t>
  </si>
  <si>
    <t>FCV-509</t>
  </si>
  <si>
    <t>FCV-510</t>
  </si>
  <si>
    <t>FCV-511</t>
  </si>
  <si>
    <t>FCV-512</t>
  </si>
  <si>
    <t>FCV-513</t>
  </si>
  <si>
    <t>FCV-514</t>
  </si>
  <si>
    <t>FCV-515</t>
  </si>
  <si>
    <t>FCV-516</t>
  </si>
  <si>
    <t>FCV-517</t>
  </si>
  <si>
    <t>FCV-518</t>
  </si>
  <si>
    <t>FCV-519</t>
  </si>
  <si>
    <t>FCV-520</t>
  </si>
  <si>
    <t>FCV-521</t>
  </si>
  <si>
    <t>FCV-522</t>
  </si>
  <si>
    <t>FCV-523</t>
  </si>
  <si>
    <t>FCV-524</t>
  </si>
  <si>
    <t>FCV-525</t>
  </si>
  <si>
    <t>FCV-526</t>
  </si>
  <si>
    <t>FCV-527</t>
  </si>
  <si>
    <t>FCV-528</t>
  </si>
  <si>
    <t>FCV-529</t>
  </si>
  <si>
    <t>FCV-530</t>
  </si>
  <si>
    <t>FCV-531</t>
  </si>
  <si>
    <t>FCV-532</t>
  </si>
  <si>
    <t>FCV-533</t>
  </si>
  <si>
    <t>FCV-534</t>
  </si>
  <si>
    <t>FCV-535</t>
  </si>
  <si>
    <t>FCV-536</t>
  </si>
  <si>
    <t>FCV-537</t>
  </si>
  <si>
    <t>FCV-538</t>
  </si>
  <si>
    <t>FCV-539</t>
  </si>
  <si>
    <t>FCV-540</t>
  </si>
  <si>
    <t>FCV-541</t>
  </si>
  <si>
    <t>FCV-542</t>
  </si>
  <si>
    <t>FCV-543</t>
  </si>
  <si>
    <t>FCV-544</t>
  </si>
  <si>
    <t>FCV-545</t>
  </si>
  <si>
    <t>FCV-546</t>
  </si>
  <si>
    <t>FCV-547</t>
  </si>
  <si>
    <t>FCV-548</t>
  </si>
  <si>
    <t>FCV-549</t>
  </si>
  <si>
    <t>FCV-550</t>
  </si>
  <si>
    <t>FCV-551</t>
  </si>
  <si>
    <t>FCV-552</t>
  </si>
  <si>
    <t>FCV-553</t>
  </si>
  <si>
    <t>FCV-554</t>
  </si>
  <si>
    <t>FCV-555</t>
  </si>
  <si>
    <t>FCV-556</t>
  </si>
  <si>
    <t>FCV-557</t>
  </si>
  <si>
    <t>FCV-558</t>
  </si>
  <si>
    <t>FCV-559</t>
  </si>
  <si>
    <t>FCV-560</t>
  </si>
  <si>
    <t>FCV-561</t>
  </si>
  <si>
    <t>FCV-562</t>
  </si>
  <si>
    <t>FCV-563</t>
  </si>
  <si>
    <t>FCV-564</t>
  </si>
  <si>
    <t>FCV-565</t>
  </si>
  <si>
    <t>FCV-566</t>
  </si>
  <si>
    <t>FCV-567</t>
  </si>
  <si>
    <t>FCV-568</t>
  </si>
  <si>
    <t>FCV-569</t>
  </si>
  <si>
    <t>FCV-570</t>
  </si>
  <si>
    <t>FCV-571</t>
  </si>
  <si>
    <t>FCV-572</t>
  </si>
  <si>
    <t>FCV-573</t>
  </si>
  <si>
    <t>FCV-574</t>
  </si>
  <si>
    <t>FCV-575</t>
  </si>
  <si>
    <t>FCV-576</t>
  </si>
  <si>
    <t>FCV-577</t>
  </si>
  <si>
    <t>FCV-578</t>
  </si>
  <si>
    <t>FCV-579</t>
  </si>
  <si>
    <t>FCV-580</t>
  </si>
  <si>
    <t>FCV-581</t>
  </si>
  <si>
    <t>FCV-582</t>
  </si>
  <si>
    <t>FCV-583</t>
  </si>
  <si>
    <t>FCV-584</t>
  </si>
  <si>
    <t>FCV-585</t>
  </si>
  <si>
    <t>FCV-586</t>
  </si>
  <si>
    <t>FCV-587</t>
  </si>
  <si>
    <t>FCV-588</t>
  </si>
  <si>
    <t>FCV-589</t>
  </si>
  <si>
    <t>FCV-590</t>
  </si>
  <si>
    <t>FCV-591</t>
  </si>
  <si>
    <t>FCV-592</t>
  </si>
  <si>
    <t>FCV-593</t>
  </si>
  <si>
    <t>FCV-594</t>
  </si>
  <si>
    <t>FCV-595</t>
  </si>
  <si>
    <t>FCV-596</t>
  </si>
  <si>
    <t>FCV-597</t>
  </si>
  <si>
    <t>FCV-598</t>
  </si>
  <si>
    <t>FCV-599</t>
  </si>
  <si>
    <t>FCV-600</t>
  </si>
  <si>
    <t>FCV-601</t>
  </si>
  <si>
    <t>FCV-602</t>
  </si>
  <si>
    <t>FCV-603</t>
  </si>
  <si>
    <t>FCV-604</t>
  </si>
  <si>
    <t>FCV-605</t>
  </si>
  <si>
    <t>FCV-606</t>
  </si>
  <si>
    <t>FCV-607</t>
  </si>
  <si>
    <t>FCV-608</t>
  </si>
  <si>
    <t>FCV-609</t>
  </si>
  <si>
    <t>FCV-610</t>
  </si>
  <si>
    <t>FCV-611</t>
  </si>
  <si>
    <t>FCV-612</t>
  </si>
  <si>
    <t>FCV-613</t>
  </si>
  <si>
    <t>FCV-614</t>
  </si>
  <si>
    <t>FCV-615</t>
  </si>
  <si>
    <t>FCV-616</t>
  </si>
  <si>
    <t>FCV-617</t>
  </si>
  <si>
    <t>FCV-618</t>
  </si>
  <si>
    <t>FCV-619</t>
  </si>
  <si>
    <t>FCV-620</t>
  </si>
  <si>
    <t>FCV-621</t>
  </si>
  <si>
    <t>FCV-622</t>
  </si>
  <si>
    <t>FCV-623</t>
  </si>
  <si>
    <t>FCV-624</t>
  </si>
  <si>
    <t>FCV-625</t>
  </si>
  <si>
    <t>FCV-626</t>
  </si>
  <si>
    <t>FCV-627</t>
  </si>
  <si>
    <t>FCV-628</t>
  </si>
  <si>
    <t>FCV-629</t>
  </si>
  <si>
    <t>FCV-630</t>
  </si>
  <si>
    <t>FCV-631</t>
  </si>
  <si>
    <t>FCV-632</t>
  </si>
  <si>
    <t>FCV-633</t>
  </si>
  <si>
    <t>FCV-634</t>
  </si>
  <si>
    <t>FCV-635</t>
  </si>
  <si>
    <t>FCV-636</t>
  </si>
  <si>
    <t>FCV-637</t>
  </si>
  <si>
    <t>FCV-638</t>
  </si>
  <si>
    <t>FCV-639</t>
  </si>
  <si>
    <t>FCV-640</t>
  </si>
  <si>
    <t>FCV-641</t>
  </si>
  <si>
    <t>FCV-642</t>
  </si>
  <si>
    <t>FCV-643</t>
  </si>
  <si>
    <t>FCV-644</t>
  </si>
  <si>
    <t>FCV-645</t>
  </si>
  <si>
    <t>FCV-646</t>
  </si>
  <si>
    <t>FCV-647</t>
  </si>
  <si>
    <t>FCV-648</t>
  </si>
  <si>
    <t>FCV-649</t>
  </si>
  <si>
    <t>FCV-650</t>
  </si>
  <si>
    <t>FCV-651</t>
  </si>
  <si>
    <t>FCV-652</t>
  </si>
  <si>
    <t>FCV-653</t>
  </si>
  <si>
    <t>FCV-654</t>
  </si>
  <si>
    <t>FCV-655</t>
  </si>
  <si>
    <t>FCV-656</t>
  </si>
  <si>
    <t>FCV-657</t>
  </si>
  <si>
    <t>FCV-658</t>
  </si>
  <si>
    <t>FCV-659</t>
  </si>
  <si>
    <t>FCV-660</t>
  </si>
  <si>
    <t>FCV-661</t>
  </si>
  <si>
    <t>FCV-662</t>
  </si>
  <si>
    <t>FCV-663</t>
  </si>
  <si>
    <t>FCV-664</t>
  </si>
  <si>
    <t>FCV-665</t>
  </si>
  <si>
    <t>FCV-666</t>
  </si>
  <si>
    <t>FCV-667</t>
  </si>
  <si>
    <t>FCV-668</t>
  </si>
  <si>
    <t>FCV-669</t>
  </si>
  <si>
    <t>FCV-670</t>
  </si>
  <si>
    <t>FCV-671</t>
  </si>
  <si>
    <t>FCV-672</t>
  </si>
  <si>
    <t>FCV-673</t>
  </si>
  <si>
    <t>FCV-674</t>
  </si>
  <si>
    <t>FCV-675</t>
  </si>
  <si>
    <t>FCV-676</t>
  </si>
  <si>
    <t>FCV-677</t>
  </si>
  <si>
    <t>FCV-678</t>
  </si>
  <si>
    <t>FCV-679</t>
  </si>
  <si>
    <t>FCV-680</t>
  </si>
  <si>
    <t>FCV-681</t>
  </si>
  <si>
    <t>FCV-682</t>
  </si>
  <si>
    <t>FCV-683</t>
  </si>
  <si>
    <t>FCV-684</t>
  </si>
  <si>
    <t>FCV-685</t>
  </si>
  <si>
    <t>FCV-686</t>
  </si>
  <si>
    <t>FCV-687</t>
  </si>
  <si>
    <t>FCV-688</t>
  </si>
  <si>
    <t>FCV-689</t>
  </si>
  <si>
    <t>FCV-690</t>
  </si>
  <si>
    <t>FCV-692</t>
  </si>
  <si>
    <t>FCV-693</t>
  </si>
  <si>
    <t>FCV-694</t>
  </si>
  <si>
    <t>FCV-695</t>
  </si>
  <si>
    <t>FCV-696</t>
  </si>
  <si>
    <t>FCV-697</t>
  </si>
  <si>
    <t>FCV-</t>
  </si>
  <si>
    <t>FCV-698</t>
  </si>
  <si>
    <t xml:space="preserve">unidad de manejo </t>
  </si>
  <si>
    <t xml:space="preserve">unidades </t>
  </si>
  <si>
    <t>Unidades</t>
  </si>
  <si>
    <t>FARMACIA VIDA</t>
  </si>
  <si>
    <t>FECHA:</t>
  </si>
  <si>
    <t>CLIENTE:</t>
  </si>
  <si>
    <t>IDENT.:</t>
  </si>
  <si>
    <t>TELEFONO:</t>
  </si>
  <si>
    <t>DIRECCIÓN:</t>
  </si>
  <si>
    <t>PVP</t>
  </si>
  <si>
    <t>DESCRIPCIÓN</t>
  </si>
  <si>
    <t>VTOTAL</t>
  </si>
  <si>
    <t>C.I./ RUC:</t>
  </si>
  <si>
    <t>R.U.C</t>
  </si>
  <si>
    <t>FACTURA</t>
  </si>
  <si>
    <t>CONTACTO:</t>
  </si>
  <si>
    <t>NOMBRE:</t>
  </si>
  <si>
    <t xml:space="preserve">DIRECCIÓN: </t>
  </si>
  <si>
    <t>TELÉFONO:</t>
  </si>
  <si>
    <t>FECHA EMISIÓN:</t>
  </si>
  <si>
    <t>VALOR TOTAL</t>
  </si>
  <si>
    <t>SUBTOTAL</t>
  </si>
  <si>
    <t>12 % IVA</t>
  </si>
  <si>
    <t>TOTAL</t>
  </si>
  <si>
    <t>DATOS CLIENTE</t>
  </si>
  <si>
    <t>DIRECCIÓN MATRIZ:</t>
  </si>
  <si>
    <t>No.</t>
  </si>
  <si>
    <t>CI/RUC:</t>
  </si>
  <si>
    <t>1721977153001</t>
  </si>
  <si>
    <t>Consumidor Final</t>
  </si>
  <si>
    <t>xxxxxxxxx</t>
  </si>
  <si>
    <t xml:space="preserve">Correo </t>
  </si>
  <si>
    <t>CORREO:</t>
  </si>
  <si>
    <t>PRECIO</t>
  </si>
  <si>
    <t/>
  </si>
  <si>
    <t>CÓDIGO</t>
  </si>
  <si>
    <t>FECHA</t>
  </si>
  <si>
    <t>CI. CLIENTE</t>
  </si>
  <si>
    <t>código</t>
  </si>
  <si>
    <t>Correo:</t>
  </si>
  <si>
    <t>total</t>
  </si>
  <si>
    <t>iva</t>
  </si>
  <si>
    <t>subtotal</t>
  </si>
  <si>
    <t>Unidad de  Manejo</t>
  </si>
  <si>
    <t>B8</t>
  </si>
  <si>
    <t>FERNANDO PARREÑO</t>
  </si>
  <si>
    <t>MARIANAS</t>
  </si>
  <si>
    <t>FPARRENO@HOTMAIL.COM</t>
  </si>
  <si>
    <t>GABRIEL VIVAS</t>
  </si>
  <si>
    <t xml:space="preserve">SAN JUAN </t>
  </si>
  <si>
    <t>FCV-699</t>
  </si>
  <si>
    <t>FCV-700</t>
  </si>
  <si>
    <t>LUPE PARREÑO</t>
  </si>
  <si>
    <t>FCV-701</t>
  </si>
  <si>
    <t>FCV-702</t>
  </si>
  <si>
    <t>IVA</t>
  </si>
  <si>
    <t>Total</t>
  </si>
  <si>
    <t>FCV-703</t>
  </si>
  <si>
    <t>AUT. SRI</t>
  </si>
  <si>
    <t>ACEITES ALMENDRA</t>
  </si>
  <si>
    <t>ANESTENKA</t>
  </si>
  <si>
    <t>ACEITE JHONSHONS</t>
  </si>
  <si>
    <t>ABRILAR EFERVECENTE</t>
  </si>
  <si>
    <t>ABRILAR JARABE</t>
  </si>
  <si>
    <t>ACICLOVIR 800MG MK</t>
  </si>
  <si>
    <t>BENZOATO DE BENZILO SARNA</t>
  </si>
  <si>
    <t>SHAMPOO NIÑO SAIRO</t>
  </si>
  <si>
    <t>ACTIFEN 500MG PARACETAMOL</t>
  </si>
  <si>
    <t>ADLGODON 30G</t>
  </si>
  <si>
    <t>AFEITADORAS BIG*12</t>
  </si>
  <si>
    <t>AGODON 15</t>
  </si>
  <si>
    <t>AGODON 30</t>
  </si>
  <si>
    <t>ALGODÓN 25G</t>
  </si>
  <si>
    <t>ALGODÓN 15 GMZ</t>
  </si>
  <si>
    <t>ALGODÓN 30 GZM</t>
  </si>
  <si>
    <t>AMOXICILINA 500</t>
  </si>
  <si>
    <t>AMOXICILINA 250 MG 62.5 JARABE</t>
  </si>
  <si>
    <t>ETORICOXIB GENERICO ARCOXIA 120</t>
  </si>
  <si>
    <t>ETORICOXIB GENERICO ARCOXIA 60</t>
  </si>
  <si>
    <t>AZITROMICINA TAB *3</t>
  </si>
  <si>
    <t>BACTEROL JB SIMPLE</t>
  </si>
  <si>
    <t>BACTEROL FORTE TB</t>
  </si>
  <si>
    <t>ASPIRADOR NASAL</t>
  </si>
  <si>
    <t>BIBERONES CARLITOS 5 ONZAS</t>
  </si>
  <si>
    <t>BIBERONES CARLITOS 10 ONZAS</t>
  </si>
  <si>
    <t>BIBERON TOMATODO MORADO</t>
  </si>
  <si>
    <t>BIBERON FISHER PRICE 5 ONZAS</t>
  </si>
  <si>
    <t>BIBERON DE 5 ONZAS CARLITOS</t>
  </si>
  <si>
    <t>BENZOSIDE  2400</t>
  </si>
  <si>
    <t>BENZOSIDE  6-3-3</t>
  </si>
  <si>
    <t>BEPANTHOL</t>
  </si>
  <si>
    <t>BETASERC 16</t>
  </si>
  <si>
    <t>BETASERC 24</t>
  </si>
  <si>
    <t>BICONCILINA 1.200</t>
  </si>
  <si>
    <t>BICONCILINA 400.000</t>
  </si>
  <si>
    <t>BISMUTOL</t>
  </si>
  <si>
    <t>BLENDY PASTA NIÑO</t>
  </si>
  <si>
    <t>SAL INGLESA</t>
  </si>
  <si>
    <t>SOBRES LINAZA</t>
  </si>
  <si>
    <t>OXIDO DE ZINC SOBRES</t>
  </si>
  <si>
    <t>BOLSA AGUA CALIENTE</t>
  </si>
  <si>
    <t>CARVEDILOL 6.25</t>
  </si>
  <si>
    <t>CARVEDILOL 25</t>
  </si>
  <si>
    <t>CEBION FRESA *12</t>
  </si>
  <si>
    <t>CEFADROXILO</t>
  </si>
  <si>
    <t>CERAZETTE</t>
  </si>
  <si>
    <t>CIRUELAX JALEA</t>
  </si>
  <si>
    <t>CLARITROMICINA TB</t>
  </si>
  <si>
    <t>CLARICOT JARABE</t>
  </si>
  <si>
    <t>CLOPIDOGREL</t>
  </si>
  <si>
    <t>CLORURO DE SODIO 1000ML</t>
  </si>
  <si>
    <t>CLOTRIMAZOL OVULOS *3</t>
  </si>
  <si>
    <t>COLGATE  PASTA LUMINOUS WHITE 125</t>
  </si>
  <si>
    <t>COLGATE  PASTA LUMINOUS WHIE</t>
  </si>
  <si>
    <t>COSMIL CREMA CORPORAL GRANDE</t>
  </si>
  <si>
    <t>COSMIL CREMA CORPORAL PEQUEÑA</t>
  </si>
  <si>
    <t>COMPLEJO B JARABE</t>
  </si>
  <si>
    <t>COMPLEJO B TB</t>
  </si>
  <si>
    <t>COTONETE CARICIA  *100</t>
  </si>
  <si>
    <t xml:space="preserve">COTONETE MADERA </t>
  </si>
  <si>
    <t>CREMA SAIRO CORPORAL</t>
  </si>
  <si>
    <t>CREMA SPEED STICK CREMA</t>
  </si>
  <si>
    <t>DESODORANTE GOLD STAR 24H</t>
  </si>
  <si>
    <t>DESODORANTE REXONA MEN</t>
  </si>
  <si>
    <t>DESODORANTE REXONA GIRL</t>
  </si>
  <si>
    <t>DESODORANTE ELEMENTS</t>
  </si>
  <si>
    <t>DICLOFENACO + VITAM TB NEUROTROPAS</t>
  </si>
  <si>
    <t>PORTIL</t>
  </si>
  <si>
    <t>PIROXICAM GEL</t>
  </si>
  <si>
    <t>DICLOFENACO GEL C/P</t>
  </si>
  <si>
    <t>DOLO- MEDOX</t>
  </si>
  <si>
    <t>PAPEL HADA</t>
  </si>
  <si>
    <t>FLOR PAPEL*6</t>
  </si>
  <si>
    <t>ENALAPRIL 20MG CP</t>
  </si>
  <si>
    <t>ENALAPRIL 20 NIFA</t>
  </si>
  <si>
    <t>ENJUAGE COLGATE ECONOMICO</t>
  </si>
  <si>
    <t>EUCAMIEL JARABE</t>
  </si>
  <si>
    <t>EUTIROX 50</t>
  </si>
  <si>
    <t>EUTIROX 88</t>
  </si>
  <si>
    <t>FASTUM KETOPROFENO GEL</t>
  </si>
  <si>
    <t>FINALIN MUSCULAR</t>
  </si>
  <si>
    <t>FIVE PRESERVATIVOS</t>
  </si>
  <si>
    <t>FLUCONAZOL TB 100</t>
  </si>
  <si>
    <t>FLUCONAZOL TB 200</t>
  </si>
  <si>
    <t>FLUFIN GRIPAL</t>
  </si>
  <si>
    <t>FLUFIN ALLERGY</t>
  </si>
  <si>
    <t>FUNGIREX TALCO GRANDE</t>
  </si>
  <si>
    <t>FURACAM CEFUROXIMA JB</t>
  </si>
  <si>
    <t>GLANIQUE / ESCAPEL</t>
  </si>
  <si>
    <t>GLICERINA</t>
  </si>
  <si>
    <t>HIDRAPLUS BOTELLA</t>
  </si>
  <si>
    <t xml:space="preserve">HILO DENTAL </t>
  </si>
  <si>
    <t>JABON ANTIBACTERIAL ISABELLALIQUIDO</t>
  </si>
  <si>
    <t>JABON ANTIBACTERIAL COCO LIQUIDO</t>
  </si>
  <si>
    <t>JABON SARYS</t>
  </si>
  <si>
    <t>ISOPRINOSINE JB</t>
  </si>
  <si>
    <t>KETESSE</t>
  </si>
  <si>
    <t>KOLYNOS</t>
  </si>
  <si>
    <t>KOTEX NORMAL</t>
  </si>
  <si>
    <t>LANSOPRAZOL 30</t>
  </si>
  <si>
    <t xml:space="preserve">LEVOFLOXACINA 750 </t>
  </si>
  <si>
    <t>LINCOPLUS</t>
  </si>
  <si>
    <t>LISTERINE 180ML</t>
  </si>
  <si>
    <t>MISTERMINT COOL MINT 300</t>
  </si>
  <si>
    <t>LOSARTAN 100 NIFA</t>
  </si>
  <si>
    <t>IBERSARTAN 150</t>
  </si>
  <si>
    <t>IBERSARTAN 300</t>
  </si>
  <si>
    <t>LOSARTAN 50 LA SANTE</t>
  </si>
  <si>
    <t>LUBRIDERM CREMA NORMAL</t>
  </si>
  <si>
    <t>LUBRIDERM CREMA PROTECCION SOLAR</t>
  </si>
  <si>
    <t>MASCARILLA QUIRURJICA</t>
  </si>
  <si>
    <t>MASCARILLA +PUF</t>
  </si>
  <si>
    <t>MELOXICAN 15MG NIFA</t>
  </si>
  <si>
    <t>MELOXICAM 15MG SANTE</t>
  </si>
  <si>
    <t>MONTELUKAST</t>
  </si>
  <si>
    <t>MERTIOLATE</t>
  </si>
  <si>
    <t>METOCLOX</t>
  </si>
  <si>
    <t>MICROSER 16</t>
  </si>
  <si>
    <t>MICROSER GOTAS</t>
  </si>
  <si>
    <t>MULTIFLORA</t>
  </si>
  <si>
    <t>ENFA</t>
  </si>
  <si>
    <t>NASTIZOL TB</t>
  </si>
  <si>
    <t>NATELE</t>
  </si>
  <si>
    <t>NERVINETAS</t>
  </si>
  <si>
    <t>NIVEA MILK 200ML</t>
  </si>
  <si>
    <t>TOALLALLAS INTIMA BUENAS NOCHES</t>
  </si>
  <si>
    <t>OMEGA 3</t>
  </si>
  <si>
    <t>OMEPRAZOL 20 C/P</t>
  </si>
  <si>
    <t>OMEPRAZOL 40 INYECION</t>
  </si>
  <si>
    <t>ORALASEP MENTA</t>
  </si>
  <si>
    <t>PANKREOFLAT</t>
  </si>
  <si>
    <t>PANOLINI *18 XG</t>
  </si>
  <si>
    <t>PAÑOS NAPIS</t>
  </si>
  <si>
    <t>PARACETAMOL 500 MG C/P</t>
  </si>
  <si>
    <t xml:space="preserve">PARACETAMOL 750 MG </t>
  </si>
  <si>
    <t xml:space="preserve">PARACETAMOL JB 120MG </t>
  </si>
  <si>
    <t>COLGATE ORIGINAL</t>
  </si>
  <si>
    <t>PEDIALYTE MANZANA</t>
  </si>
  <si>
    <t>PREDNISONA 5</t>
  </si>
  <si>
    <t>JOLLY JABON</t>
  </si>
  <si>
    <t>RAPIGRIP</t>
  </si>
  <si>
    <t>SERTAL AMPOLLA</t>
  </si>
  <si>
    <t>SHAMPOO SAIRO</t>
  </si>
  <si>
    <t>SULTAMIX375</t>
  </si>
  <si>
    <t>SYSTANE  GOTAS</t>
  </si>
  <si>
    <t>SYSTANE BALANCE</t>
  </si>
  <si>
    <t>SYSTANE HIDATACION</t>
  </si>
  <si>
    <t>SYSTANE ULTRA</t>
  </si>
  <si>
    <t>TERMOMETRO DIGITAL</t>
  </si>
  <si>
    <t>TERMOMETRO ORAL</t>
  </si>
  <si>
    <t>MATICO</t>
  </si>
  <si>
    <t>TINTE COLORIS</t>
  </si>
  <si>
    <t>TOBRADEX</t>
  </si>
  <si>
    <t>TOPI BUCAL  NIÑO</t>
  </si>
  <si>
    <t>TRAMAL GOTAS</t>
  </si>
  <si>
    <t xml:space="preserve">TRAMAL TB </t>
  </si>
  <si>
    <t>NITROFURANTOINA</t>
  </si>
  <si>
    <t>VASELINA GRANDE</t>
  </si>
  <si>
    <t>VICK VAPORUB</t>
  </si>
  <si>
    <t>HIPROMELOSA</t>
  </si>
  <si>
    <t>LAGRIMAS SANTE</t>
  </si>
  <si>
    <t>YAZMIN</t>
  </si>
  <si>
    <t>YODO</t>
  </si>
  <si>
    <t>ZIGNET PLUS</t>
  </si>
  <si>
    <t>EQUIPO DE VENOCLISIS</t>
  </si>
  <si>
    <t>SET HAIRLINES</t>
  </si>
  <si>
    <t>CONCHAS DE NACAR</t>
  </si>
  <si>
    <t>CHUCHUGUAZA</t>
  </si>
  <si>
    <t>JABON SULFUROSO</t>
  </si>
  <si>
    <t>JABON GLICERINA</t>
  </si>
  <si>
    <t>JABON AVENA</t>
  </si>
  <si>
    <t>JABON MATICO</t>
  </si>
  <si>
    <t>JABON MIEL DE ABEJA</t>
  </si>
  <si>
    <t>VIOLETA GENCIANA</t>
  </si>
  <si>
    <t>PEGAS PARA PESTAÑAS</t>
  </si>
  <si>
    <t>CORTAUÑAS</t>
  </si>
  <si>
    <t>CHUNCHIS</t>
  </si>
  <si>
    <t>PESTAÑAS POSTISAS</t>
  </si>
  <si>
    <t>BASE EN POLVO</t>
  </si>
  <si>
    <t>HUMECTANTE LABIAL</t>
  </si>
  <si>
    <t>PERLAS DE PIEL</t>
  </si>
  <si>
    <t>SOMBRAS</t>
  </si>
  <si>
    <t>BASE LIQUIDA</t>
  </si>
  <si>
    <t>AGUA MICELAR NIVEA</t>
  </si>
  <si>
    <t>ACETONAS</t>
  </si>
  <si>
    <t>PINZAS</t>
  </si>
  <si>
    <t>LIMAS DE CARTON</t>
  </si>
  <si>
    <t>BANANAS PARA CABELLO</t>
  </si>
  <si>
    <t>LABIALES LIQUIDOS</t>
  </si>
  <si>
    <t>LIGAS</t>
  </si>
  <si>
    <t>PONDS PEPINO 50G</t>
  </si>
  <si>
    <t>PONDS CLARANTE 50G</t>
  </si>
  <si>
    <t>NIVEA NUTRITIVA 50ML</t>
  </si>
  <si>
    <t>BELLA PARIS PERFUME</t>
  </si>
  <si>
    <t xml:space="preserve">BINCHAS </t>
  </si>
  <si>
    <t>BINCHAS CON INVISIBLES</t>
  </si>
  <si>
    <t>ARETES</t>
  </si>
  <si>
    <t>SHAMPOO VINATE</t>
  </si>
  <si>
    <t>MUSK SHAMPO</t>
  </si>
  <si>
    <t>PONDS CREMA C PEPINO 100G</t>
  </si>
  <si>
    <t xml:space="preserve">EXFOLIANTES </t>
  </si>
  <si>
    <t>CREMA MOSQUETA</t>
  </si>
  <si>
    <t>CABALLITO</t>
  </si>
  <si>
    <t>RECAMIER LOCION PARA HOMBRE</t>
  </si>
  <si>
    <t>RELOJ DE MUJER</t>
  </si>
  <si>
    <t>RELOJ DE HOMBRE</t>
  </si>
  <si>
    <t>PORTARETRATOS</t>
  </si>
  <si>
    <t>DIARIOS</t>
  </si>
  <si>
    <t>MUÑECAS BARBYES</t>
  </si>
  <si>
    <t>DIADEMAS DE NIÑA</t>
  </si>
  <si>
    <t>LABIAL VICTORIA SECRET</t>
  </si>
  <si>
    <t>PINZA PESTAÑAS RIZADOR</t>
  </si>
  <si>
    <t>FCV-691</t>
  </si>
  <si>
    <t>FCV-704</t>
  </si>
  <si>
    <t>FCV-705</t>
  </si>
  <si>
    <t>FCV-706</t>
  </si>
  <si>
    <t>FCV-707</t>
  </si>
  <si>
    <t>FCV-708</t>
  </si>
  <si>
    <t>FCV-709</t>
  </si>
  <si>
    <t>FCV-710</t>
  </si>
  <si>
    <t>FCV-711</t>
  </si>
  <si>
    <t>FCV-712</t>
  </si>
  <si>
    <t>FCV-713</t>
  </si>
  <si>
    <t>FCV-714</t>
  </si>
  <si>
    <t>FCV-715</t>
  </si>
  <si>
    <t>FCV-716</t>
  </si>
  <si>
    <t>FCV-717</t>
  </si>
  <si>
    <t>FCV-718</t>
  </si>
  <si>
    <t>FCV-719</t>
  </si>
  <si>
    <t>FCV-720</t>
  </si>
  <si>
    <t>FCV-721</t>
  </si>
  <si>
    <t>FCV-722</t>
  </si>
  <si>
    <t>FCV-723</t>
  </si>
  <si>
    <t>FCV-724</t>
  </si>
  <si>
    <t>FCV-725</t>
  </si>
  <si>
    <t>FCV-726</t>
  </si>
  <si>
    <t>FCV-727</t>
  </si>
  <si>
    <t>FCV-728</t>
  </si>
  <si>
    <t>FCV-729</t>
  </si>
  <si>
    <t>FCV-730</t>
  </si>
  <si>
    <t>FCV-731</t>
  </si>
  <si>
    <t>FCV-732</t>
  </si>
  <si>
    <t>FCV-733</t>
  </si>
  <si>
    <t>FCV-734</t>
  </si>
  <si>
    <t>FCV-735</t>
  </si>
  <si>
    <t>FCV-736</t>
  </si>
  <si>
    <t>FCV-737</t>
  </si>
  <si>
    <t>FCV-738</t>
  </si>
  <si>
    <t>FCV-739</t>
  </si>
  <si>
    <t>FCV-740</t>
  </si>
  <si>
    <t>FCV-741</t>
  </si>
  <si>
    <t>FCV-742</t>
  </si>
  <si>
    <t>FCV-743</t>
  </si>
  <si>
    <t>FCV-744</t>
  </si>
  <si>
    <t>FCV-745</t>
  </si>
  <si>
    <t>FCV-746</t>
  </si>
  <si>
    <t>FCV-747</t>
  </si>
  <si>
    <t>FCV-748</t>
  </si>
  <si>
    <t>FCV-749</t>
  </si>
  <si>
    <t>FCV-750</t>
  </si>
  <si>
    <t>FCV-751</t>
  </si>
  <si>
    <t>FCV-752</t>
  </si>
  <si>
    <t>FCV-753</t>
  </si>
  <si>
    <t>FCV-754</t>
  </si>
  <si>
    <t>FCV-755</t>
  </si>
  <si>
    <t>FCV-756</t>
  </si>
  <si>
    <t>FCV-757</t>
  </si>
  <si>
    <t>FCV-758</t>
  </si>
  <si>
    <t>FCV-759</t>
  </si>
  <si>
    <t>FCV-760</t>
  </si>
  <si>
    <t>FCV-761</t>
  </si>
  <si>
    <t>FCV-762</t>
  </si>
  <si>
    <t>FCV-763</t>
  </si>
  <si>
    <t>FCV-764</t>
  </si>
  <si>
    <t>FCV-765</t>
  </si>
  <si>
    <t>FCV-766</t>
  </si>
  <si>
    <t>FCV-767</t>
  </si>
  <si>
    <t>FCV-768</t>
  </si>
  <si>
    <t>FCV-769</t>
  </si>
  <si>
    <t>FCV-770</t>
  </si>
  <si>
    <t>FCV-771</t>
  </si>
  <si>
    <t>FCV-772</t>
  </si>
  <si>
    <t>FCV-773</t>
  </si>
  <si>
    <t>FCV-774</t>
  </si>
  <si>
    <t>FCV-775</t>
  </si>
  <si>
    <t>FCV-776</t>
  </si>
  <si>
    <t>FCV-777</t>
  </si>
  <si>
    <t>FCV-778</t>
  </si>
  <si>
    <t>FCV-779</t>
  </si>
  <si>
    <t>FCV-780</t>
  </si>
  <si>
    <t>FCV-781</t>
  </si>
  <si>
    <t>FCV-782</t>
  </si>
  <si>
    <t>FCV-783</t>
  </si>
  <si>
    <t>FCV-784</t>
  </si>
  <si>
    <t>FCV-785</t>
  </si>
  <si>
    <t>FCV-786</t>
  </si>
  <si>
    <t>FCV-787</t>
  </si>
  <si>
    <t>FCV-788</t>
  </si>
  <si>
    <t>FCV-789</t>
  </si>
  <si>
    <t>FCV-790</t>
  </si>
  <si>
    <t>FCV-791</t>
  </si>
  <si>
    <t>FCV-792</t>
  </si>
  <si>
    <t>FCV-793</t>
  </si>
  <si>
    <t>FCV-794</t>
  </si>
  <si>
    <t>FCV-795</t>
  </si>
  <si>
    <t>FCV-796</t>
  </si>
  <si>
    <t>FCV-797</t>
  </si>
  <si>
    <t>FCV-798</t>
  </si>
  <si>
    <t>FCV-799</t>
  </si>
  <si>
    <t>FCV-800</t>
  </si>
  <si>
    <t>FCV-801</t>
  </si>
  <si>
    <t>FCV-802</t>
  </si>
  <si>
    <t>FCV-803</t>
  </si>
  <si>
    <t>FCV-804</t>
  </si>
  <si>
    <t>FCV-805</t>
  </si>
  <si>
    <t>FCV-806</t>
  </si>
  <si>
    <t>FCV-807</t>
  </si>
  <si>
    <t>FCV-808</t>
  </si>
  <si>
    <t>FCV-809</t>
  </si>
  <si>
    <t>FCV-810</t>
  </si>
  <si>
    <t>FCV-811</t>
  </si>
  <si>
    <t>FCV-812</t>
  </si>
  <si>
    <t>FCV-813</t>
  </si>
  <si>
    <t>FCV-814</t>
  </si>
  <si>
    <t>FCV-815</t>
  </si>
  <si>
    <t>FCV-816</t>
  </si>
  <si>
    <t>FCV-817</t>
  </si>
  <si>
    <t>FCV-818</t>
  </si>
  <si>
    <t>FCV-819</t>
  </si>
  <si>
    <t>FCV-820</t>
  </si>
  <si>
    <t>FCV-821</t>
  </si>
  <si>
    <t>FCV-822</t>
  </si>
  <si>
    <t>FCV-823</t>
  </si>
  <si>
    <t>FCV-824</t>
  </si>
  <si>
    <t>FCV-825</t>
  </si>
  <si>
    <t>FCV-826</t>
  </si>
  <si>
    <t>FCV-827</t>
  </si>
  <si>
    <t>FCV-828</t>
  </si>
  <si>
    <t>FCV-829</t>
  </si>
  <si>
    <t>FCV-830</t>
  </si>
  <si>
    <t>FCV-831</t>
  </si>
  <si>
    <t>FCV-832</t>
  </si>
  <si>
    <t>FCV-833</t>
  </si>
  <si>
    <t>FCV-834</t>
  </si>
  <si>
    <t>FCV-835</t>
  </si>
  <si>
    <t>FCV-836</t>
  </si>
  <si>
    <t>FCV-837</t>
  </si>
  <si>
    <t>FCV-838</t>
  </si>
  <si>
    <t>FCV-839</t>
  </si>
  <si>
    <t>FCV-840</t>
  </si>
  <si>
    <t>FCV-841</t>
  </si>
  <si>
    <t>FCV-842</t>
  </si>
  <si>
    <t>FCV-843</t>
  </si>
  <si>
    <t>FCV-844</t>
  </si>
  <si>
    <t>FCV-845</t>
  </si>
  <si>
    <t>FCV-846</t>
  </si>
  <si>
    <t>FCV-847</t>
  </si>
  <si>
    <t>FCV-848</t>
  </si>
  <si>
    <t>FCV-849</t>
  </si>
  <si>
    <t>FCV-850</t>
  </si>
  <si>
    <t>FCV-851</t>
  </si>
  <si>
    <t>FCV-852</t>
  </si>
  <si>
    <t>FCV-853</t>
  </si>
  <si>
    <t>FCV-854</t>
  </si>
  <si>
    <t>FCV-855</t>
  </si>
  <si>
    <t>FCV-856</t>
  </si>
  <si>
    <t>FCV-857</t>
  </si>
  <si>
    <t>FCV-858</t>
  </si>
  <si>
    <t>FCV-859</t>
  </si>
  <si>
    <t>FCV-860</t>
  </si>
  <si>
    <t>FCV-861</t>
  </si>
  <si>
    <t>FCV-862</t>
  </si>
  <si>
    <t>RUC:</t>
  </si>
  <si>
    <t>NOTA DE VENTA N°:</t>
  </si>
  <si>
    <t>ACETAMINOFEN SUP</t>
  </si>
  <si>
    <t>ACIDO FOLICO 1</t>
  </si>
  <si>
    <t>AFLUX JARABE</t>
  </si>
  <si>
    <t>ALERCET GOTAS</t>
  </si>
  <si>
    <t>AGODON 5G</t>
  </si>
  <si>
    <t>AMLODIPINO 10MG CP</t>
  </si>
  <si>
    <t>AMOXICILINA + AC CLAVULA 1 GRAMO C/P</t>
  </si>
  <si>
    <t xml:space="preserve">AMPICILINA  500 </t>
  </si>
  <si>
    <t xml:space="preserve">PARACETAMOL 1 GRA ANALGAN </t>
  </si>
  <si>
    <t>ANTIL</t>
  </si>
  <si>
    <t>ARCOXIA 120</t>
  </si>
  <si>
    <t>ASPIRINA GENERICO BLAQUETA</t>
  </si>
  <si>
    <t>AZITROMICINA 15ML GENETIA</t>
  </si>
  <si>
    <t>DEXAMETASONA INY</t>
  </si>
  <si>
    <t>ORAL B PASTA DENTAL</t>
  </si>
  <si>
    <t>GENERICO DEL BUPREX FORTE</t>
  </si>
  <si>
    <t>CEFALEXINA 500</t>
  </si>
  <si>
    <t>CEPILLO COLGATE  SUAVE 360</t>
  </si>
  <si>
    <t>CLARITROMICINA JAB</t>
  </si>
  <si>
    <t>CLOTRIMAZOL %2 VAGINAL CON APLICADOR</t>
  </si>
  <si>
    <t>CLOTRIMAZOL %2 VAGINAL</t>
  </si>
  <si>
    <t>COTONETESAZUL</t>
  </si>
  <si>
    <t>CREMA CERO 30G</t>
  </si>
  <si>
    <t>DALIVIUM DESKETOPROFENO</t>
  </si>
  <si>
    <t>DESLORATADINA JB</t>
  </si>
  <si>
    <t>DESODORANTE ON DUTY</t>
  </si>
  <si>
    <t>DESODORANTE LADDY SPEDD STICK 48H</t>
  </si>
  <si>
    <t>DESODORANTE LADY SPEDD SPECK 48H</t>
  </si>
  <si>
    <t>DIGESTOPAN SIMPLE</t>
  </si>
  <si>
    <t>ENJUAGE COLGATE PLAX + JABON</t>
  </si>
  <si>
    <t xml:space="preserve">FLENAX </t>
  </si>
  <si>
    <t>FLUIMUCIL 3ML</t>
  </si>
  <si>
    <t>FUNGIREX TALCO PEQUEÑO</t>
  </si>
  <si>
    <t>GENERICO TRIDERM GENTAMICINA</t>
  </si>
  <si>
    <t>GENTAMICINA COLIRIO</t>
  </si>
  <si>
    <t>IBUPROFENO 800 SANTE</t>
  </si>
  <si>
    <t>NOSOTROS  PROTECTORES DIARIOS</t>
  </si>
  <si>
    <t>ISABELL SHAMPOO 1 LITRO</t>
  </si>
  <si>
    <t>LECHE MAGNESIA GRANDE</t>
  </si>
  <si>
    <t>LECHE MAGNESIA PEQUEÑA</t>
  </si>
  <si>
    <t>LOSARTAN 100 C/P</t>
  </si>
  <si>
    <t>MALGADRATO+ SIMETICONA JARABE</t>
  </si>
  <si>
    <t>OVULOS METRO+ NISTA</t>
  </si>
  <si>
    <t>NAPROXENO</t>
  </si>
  <si>
    <t>MICROPORE PIEL NEXCARE</t>
  </si>
  <si>
    <t>NORMOTEMP</t>
  </si>
  <si>
    <t>OTOZAMBON</t>
  </si>
  <si>
    <t>PAÑOS JHONSON</t>
  </si>
  <si>
    <t>PASTA COLGATE 75 TRIPLE</t>
  </si>
  <si>
    <t>STEVIA LIFE</t>
  </si>
  <si>
    <t>SUPOSITORIOS GLICERINA ADULTO</t>
  </si>
  <si>
    <t>SUPOSITORIOS GLICERINA NIÑO</t>
  </si>
  <si>
    <t>TEATRITAL</t>
  </si>
  <si>
    <t>TRIDERM</t>
  </si>
  <si>
    <t>ZINOX UNGÜENTO</t>
  </si>
  <si>
    <t>GABAPENTINA 300</t>
  </si>
  <si>
    <t xml:space="preserve">ACEITES  </t>
  </si>
  <si>
    <t>14/11/2020</t>
  </si>
  <si>
    <t>Alfonso Perrier N22-68 E IBERIA</t>
  </si>
  <si>
    <t>0984508875/3227935</t>
  </si>
  <si>
    <t>Dir. Matriz: Alfonso Perrier N22-68 E IBERIA</t>
  </si>
  <si>
    <t>telef.: 0984508875/3227935</t>
  </si>
  <si>
    <t>FCV-863</t>
  </si>
  <si>
    <t>PILAS AA</t>
  </si>
  <si>
    <t>.</t>
  </si>
  <si>
    <t>1716805237</t>
  </si>
  <si>
    <t>3152351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</si>
</sst>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_ [$$-300A]* #,##0.00_ ;_ [$$-300A]* \-#,##0.00_ ;_ [$$-300A]* &quot;-&quot;??_ ;_ @_ "/>
    <numFmt numFmtId="165" formatCode="000000"/>
    <numFmt numFmtId="166" formatCode="&quot;$&quot;#,##0.00"/>
    <numFmt numFmtId="167" formatCode="m/d/yyyy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theme="9" tint="-0.249977111117893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8"/>
      <name val="Arial"/>
      <family val="2"/>
    </font>
    <font>
      <b/>
      <sz val="12"/>
      <color theme="3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sz val="8"/>
      <name val="Calibri"/>
      <family val="2"/>
      <scheme val="minor"/>
    </font>
    <font>
      <sz val="11"/>
      <color rgb="FF5F6368"/>
      <name val="Arial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8" fillId="0" borderId="0"/>
    <xf numFmtId="43" fontId="8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Font="1"/>
    <xf numFmtId="0" fontId="1" fillId="0" borderId="0" xfId="0" applyFont="1"/>
    <xf numFmtId="0" fontId="0" fillId="0" borderId="0" xfId="0" applyFont="1" applyAlignment="1">
      <alignment wrapText="1"/>
    </xf>
    <xf numFmtId="0" fontId="2" fillId="0" borderId="0" xfId="0" applyFont="1"/>
    <xf numFmtId="0" fontId="0" fillId="0" borderId="0" xfId="0" applyAlignment="1">
      <alignment wrapText="1"/>
    </xf>
    <xf numFmtId="1" fontId="0" fillId="0" borderId="0" xfId="0" applyNumberFormat="1" applyAlignment="1">
      <alignment wrapText="1"/>
    </xf>
    <xf numFmtId="1" fontId="0" fillId="0" borderId="0" xfId="0" applyNumberForma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wrapText="1"/>
    </xf>
    <xf numFmtId="1" fontId="3" fillId="2" borderId="2" xfId="0" applyNumberFormat="1" applyFont="1" applyFill="1" applyBorder="1" applyAlignment="1">
      <alignment wrapText="1"/>
    </xf>
    <xf numFmtId="0" fontId="3" fillId="2" borderId="3" xfId="0" applyFont="1" applyFill="1" applyBorder="1"/>
    <xf numFmtId="0" fontId="0" fillId="0" borderId="4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0" xfId="0" applyNumberFormat="1"/>
    <xf numFmtId="0" fontId="5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  <xf numFmtId="14" fontId="0" fillId="0" borderId="0" xfId="0" applyNumberFormat="1"/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2" fontId="4" fillId="0" borderId="0" xfId="0" applyNumberFormat="1" applyFont="1"/>
    <xf numFmtId="0" fontId="8" fillId="0" borderId="0" xfId="1"/>
    <xf numFmtId="0" fontId="8" fillId="3" borderId="0" xfId="1" applyFill="1"/>
    <xf numFmtId="0" fontId="8" fillId="6" borderId="0" xfId="1" applyFill="1"/>
    <xf numFmtId="0" fontId="8" fillId="5" borderId="0" xfId="1" applyFill="1"/>
    <xf numFmtId="0" fontId="8" fillId="4" borderId="0" xfId="1" applyFill="1"/>
    <xf numFmtId="49" fontId="8" fillId="0" borderId="0" xfId="1" applyNumberFormat="1"/>
    <xf numFmtId="49" fontId="12" fillId="0" borderId="0" xfId="1" applyNumberFormat="1" applyFont="1" applyAlignment="1">
      <alignment horizontal="left"/>
    </xf>
    <xf numFmtId="49" fontId="12" fillId="0" borderId="0" xfId="1" applyNumberFormat="1" applyFont="1" applyAlignment="1">
      <alignment horizontal="left" wrapText="1"/>
    </xf>
    <xf numFmtId="49" fontId="13" fillId="4" borderId="0" xfId="1" applyNumberFormat="1" applyFont="1" applyFill="1"/>
    <xf numFmtId="0" fontId="9" fillId="4" borderId="0" xfId="1" applyFont="1" applyFill="1"/>
    <xf numFmtId="1" fontId="8" fillId="4" borderId="0" xfId="1" applyNumberFormat="1" applyFill="1"/>
    <xf numFmtId="49" fontId="8" fillId="7" borderId="0" xfId="1" applyNumberFormat="1" applyFill="1"/>
    <xf numFmtId="0" fontId="8" fillId="5" borderId="4" xfId="1" applyFill="1" applyBorder="1"/>
    <xf numFmtId="0" fontId="8" fillId="6" borderId="4" xfId="1" applyFill="1" applyBorder="1"/>
    <xf numFmtId="0" fontId="14" fillId="7" borderId="4" xfId="1" applyFont="1" applyFill="1" applyBorder="1" applyAlignment="1">
      <alignment horizontal="center" vertical="center" wrapText="1"/>
    </xf>
    <xf numFmtId="41" fontId="0" fillId="0" borderId="0" xfId="0" applyNumberFormat="1"/>
    <xf numFmtId="49" fontId="8" fillId="0" borderId="0" xfId="1" applyNumberFormat="1" applyBorder="1"/>
    <xf numFmtId="0" fontId="18" fillId="0" borderId="0" xfId="3"/>
    <xf numFmtId="0" fontId="0" fillId="8" borderId="0" xfId="0" applyFill="1"/>
    <xf numFmtId="0" fontId="6" fillId="2" borderId="0" xfId="0" applyFont="1" applyFill="1" applyBorder="1"/>
    <xf numFmtId="0" fontId="8" fillId="0" borderId="5" xfId="1" applyBorder="1" applyAlignment="1">
      <alignment horizontal="left" vertical="center"/>
    </xf>
    <xf numFmtId="0" fontId="13" fillId="4" borderId="0" xfId="1" applyFont="1" applyFill="1" applyBorder="1" applyAlignment="1">
      <alignment horizontal="center"/>
    </xf>
    <xf numFmtId="0" fontId="14" fillId="7" borderId="4" xfId="1" applyFont="1" applyFill="1" applyBorder="1" applyAlignment="1">
      <alignment horizontal="center" vertical="center"/>
    </xf>
    <xf numFmtId="49" fontId="11" fillId="0" borderId="0" xfId="1" applyNumberFormat="1" applyFont="1" applyBorder="1" applyAlignment="1">
      <alignment horizontal="right"/>
    </xf>
    <xf numFmtId="164" fontId="8" fillId="0" borderId="4" xfId="1" applyNumberFormat="1" applyBorder="1" applyAlignment="1">
      <alignment horizontal="center"/>
    </xf>
    <xf numFmtId="49" fontId="7" fillId="0" borderId="0" xfId="1" applyNumberFormat="1" applyFont="1" applyAlignment="1">
      <alignment horizontal="left" vertical="center"/>
    </xf>
    <xf numFmtId="49" fontId="15" fillId="0" borderId="0" xfId="1" applyNumberFormat="1" applyFont="1" applyAlignment="1">
      <alignment horizontal="left"/>
    </xf>
    <xf numFmtId="49" fontId="11" fillId="0" borderId="0" xfId="1" applyNumberFormat="1" applyFont="1" applyBorder="1" applyAlignment="1">
      <alignment horizontal="center"/>
    </xf>
    <xf numFmtId="0" fontId="8" fillId="4" borderId="5" xfId="1" applyFill="1" applyBorder="1" applyAlignment="1"/>
    <xf numFmtId="0" fontId="8" fillId="4" borderId="6" xfId="1" applyFill="1" applyBorder="1" applyAlignment="1"/>
    <xf numFmtId="0" fontId="8" fillId="4" borderId="4" xfId="1" applyFill="1" applyBorder="1" applyAlignment="1"/>
    <xf numFmtId="49" fontId="8" fillId="4" borderId="6" xfId="1" applyNumberFormat="1" applyFill="1" applyBorder="1" applyAlignment="1"/>
    <xf numFmtId="1" fontId="8" fillId="4" borderId="4" xfId="1" applyNumberFormat="1" applyFill="1" applyBorder="1" applyAlignment="1"/>
    <xf numFmtId="49" fontId="8" fillId="0" borderId="7" xfId="1" applyNumberFormat="1" applyBorder="1" applyAlignment="1">
      <alignment horizontal="center" vertical="center"/>
    </xf>
    <xf numFmtId="0" fontId="14" fillId="7" borderId="5" xfId="1" applyFont="1" applyFill="1" applyBorder="1" applyAlignment="1">
      <alignment horizontal="center" vertical="center" wrapText="1"/>
    </xf>
    <xf numFmtId="49" fontId="8" fillId="0" borderId="7" xfId="1" applyNumberFormat="1" applyBorder="1" applyAlignment="1">
      <alignment vertical="center"/>
    </xf>
    <xf numFmtId="165" fontId="17" fillId="0" borderId="7" xfId="1" applyNumberFormat="1" applyFont="1" applyBorder="1" applyAlignment="1">
      <alignment horizontal="center"/>
    </xf>
    <xf numFmtId="0" fontId="20" fillId="7" borderId="4" xfId="0" applyFont="1" applyFill="1" applyBorder="1" applyAlignment="1">
      <alignment horizontal="center"/>
    </xf>
    <xf numFmtId="0" fontId="20" fillId="7" borderId="4" xfId="1" applyFont="1" applyFill="1" applyBorder="1" applyAlignment="1">
      <alignment horizontal="center" vertical="center" wrapText="1"/>
    </xf>
    <xf numFmtId="0" fontId="20" fillId="7" borderId="4" xfId="1" applyFont="1" applyFill="1" applyBorder="1" applyAlignment="1">
      <alignment horizontal="center" vertical="center"/>
    </xf>
    <xf numFmtId="0" fontId="19" fillId="2" borderId="4" xfId="0" applyFont="1" applyFill="1" applyBorder="1"/>
    <xf numFmtId="0" fontId="19" fillId="7" borderId="4" xfId="0" applyFont="1" applyFill="1" applyBorder="1"/>
    <xf numFmtId="166" fontId="0" fillId="0" borderId="0" xfId="0" applyNumberFormat="1"/>
    <xf numFmtId="167" fontId="0" fillId="0" borderId="0" xfId="0" applyNumberFormat="1"/>
    <xf numFmtId="165" fontId="5" fillId="0" borderId="0" xfId="0" applyNumberFormat="1" applyFont="1" applyAlignment="1">
      <alignment horizontal="center"/>
    </xf>
    <xf numFmtId="165" fontId="17" fillId="0" borderId="10" xfId="1" applyNumberFormat="1" applyFont="1" applyBorder="1" applyAlignment="1">
      <alignment horizontal="center"/>
    </xf>
    <xf numFmtId="49" fontId="11" fillId="0" borderId="7" xfId="1" applyNumberFormat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22" fillId="0" borderId="0" xfId="0" applyFont="1"/>
    <xf numFmtId="0" fontId="0" fillId="0" borderId="0" xfId="0" applyAlignment="1">
      <alignment horizontal="right"/>
    </xf>
    <xf numFmtId="0" fontId="23" fillId="0" borderId="0" xfId="0" applyFont="1"/>
    <xf numFmtId="0" fontId="24" fillId="0" borderId="0" xfId="0" applyFont="1"/>
    <xf numFmtId="0" fontId="4" fillId="0" borderId="12" xfId="0" applyFont="1" applyBorder="1"/>
    <xf numFmtId="0" fontId="0" fillId="0" borderId="12" xfId="0" applyBorder="1"/>
    <xf numFmtId="0" fontId="25" fillId="0" borderId="0" xfId="0" applyFont="1"/>
    <xf numFmtId="0" fontId="2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Alignment="1">
      <alignment horizontal="center"/>
    </xf>
    <xf numFmtId="49" fontId="25" fillId="0" borderId="0" xfId="0" applyNumberFormat="1" applyFont="1" applyAlignment="1">
      <alignment horizontal="center"/>
    </xf>
    <xf numFmtId="0" fontId="25" fillId="0" borderId="13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4" fillId="3" borderId="0" xfId="0" applyFont="1" applyFill="1" applyBorder="1"/>
    <xf numFmtId="0" fontId="0" fillId="3" borderId="0" xfId="0" applyFill="1" applyBorder="1"/>
    <xf numFmtId="0" fontId="25" fillId="0" borderId="15" xfId="0" applyFont="1" applyBorder="1" applyAlignment="1">
      <alignment horizontal="center"/>
    </xf>
    <xf numFmtId="2" fontId="2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25" fillId="0" borderId="0" xfId="0" applyFont="1" applyBorder="1"/>
    <xf numFmtId="0" fontId="26" fillId="0" borderId="0" xfId="0" applyFont="1" applyBorder="1"/>
    <xf numFmtId="49" fontId="10" fillId="0" borderId="0" xfId="1" applyNumberFormat="1" applyFont="1" applyAlignment="1">
      <alignment horizontal="center"/>
    </xf>
    <xf numFmtId="49" fontId="8" fillId="0" borderId="0" xfId="1" applyNumberFormat="1" applyAlignment="1">
      <alignment horizontal="center"/>
    </xf>
    <xf numFmtId="49" fontId="16" fillId="0" borderId="8" xfId="1" applyNumberFormat="1" applyFont="1" applyBorder="1" applyAlignment="1">
      <alignment horizontal="center" vertical="center"/>
    </xf>
    <xf numFmtId="49" fontId="16" fillId="0" borderId="9" xfId="1" applyNumberFormat="1" applyFont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25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165" fontId="25" fillId="0" borderId="0" xfId="0" applyNumberFormat="1" applyFont="1" applyAlignment="1">
      <alignment horizontal="center"/>
    </xf>
  </cellXfs>
  <cellStyles count="4">
    <cellStyle name="Hipervínculo" xfId="3" builtinId="8"/>
    <cellStyle name="Millares 2" xfId="2"/>
    <cellStyle name="Normal" xfId="0" builtinId="0"/>
    <cellStyle name="Normal 2" xfId="1"/>
  </cellStyles>
  <dxfs count="5">
    <dxf>
      <numFmt numFmtId="167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numFmt numFmtId="1" formatCode="0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133350</xdr:colOff>
      <xdr:row>7</xdr:row>
      <xdr:rowOff>142875</xdr:rowOff>
    </xdr:from>
    <xdr:to>
      <xdr:col>9</xdr:col>
      <xdr:colOff>732285</xdr:colOff>
      <xdr:row>19</xdr:row>
      <xdr:rowOff>57150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5350" y="1476375"/>
          <a:ext cx="2884935" cy="2200275"/>
        </a:xfrm>
        <a:prstGeom prst="rect">
          <a:avLst/>
        </a:prstGeom>
      </xdr:spPr>
    </xdr:pic>
    <xdr:clientData/>
  </xdr:twoCellAnchor>
  <xdr:oneCellAnchor>
    <xdr:from>
      <xdr:col>3</xdr:col>
      <xdr:colOff>240872</xdr:colOff>
      <xdr:row>4</xdr:row>
      <xdr:rowOff>69348</xdr:rowOff>
    </xdr:from>
    <xdr:ext cx="7805021" cy="593304"/>
    <xdr:sp macro="" textlink="">
      <xdr:nvSpPr>
        <xdr:cNvPr id="3" name="Rectángulo 2"/>
        <xdr:cNvSpPr/>
      </xdr:nvSpPr>
      <xdr:spPr>
        <a:xfrm>
          <a:off x="2526872" y="831348"/>
          <a:ext cx="7805021" cy="59330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s-ES" sz="32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FF0000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SISTEMA</a:t>
          </a:r>
          <a:r>
            <a:rPr lang="es-ES" sz="32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rgbClr val="FF0000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DE FACTURACIÓN FARMACIA VIDA </a:t>
          </a:r>
          <a:endParaRPr lang="es-ES" sz="3200" b="1" cap="none" spc="0">
            <a:ln w="9525">
              <a:solidFill>
                <a:schemeClr val="bg1"/>
              </a:solidFill>
              <a:prstDash val="solid"/>
            </a:ln>
            <a:solidFill>
              <a:srgbClr val="FF0000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twoCellAnchor>
    <xdr:from>
      <xdr:col>6</xdr:col>
      <xdr:colOff>104774</xdr:colOff>
      <xdr:row>19</xdr:row>
      <xdr:rowOff>133350</xdr:rowOff>
    </xdr:from>
    <xdr:to>
      <xdr:col>9</xdr:col>
      <xdr:colOff>742949</xdr:colOff>
      <xdr:row>23</xdr:row>
      <xdr:rowOff>85725</xdr:rowOff>
    </xdr:to>
    <xdr:sp macro="[0]!Rectánguloredondeado3_Haga_clic_en" textlink="">
      <xdr:nvSpPr>
        <xdr:cNvPr id="4" name="Rectángulo redondeado 3"/>
        <xdr:cNvSpPr/>
      </xdr:nvSpPr>
      <xdr:spPr>
        <a:xfrm>
          <a:off x="4676774" y="3752850"/>
          <a:ext cx="2924175" cy="714375"/>
        </a:xfrm>
        <a:prstGeom prst="roundRect">
          <a:avLst/>
        </a:prstGeom>
        <a:scene3d>
          <a:camera prst="obliqueTopLeft"/>
          <a:lightRig rig="threePt" dir="t"/>
        </a:scene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3200" b="1"/>
            <a:t>INICIO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81642</xdr:colOff>
      <xdr:row>3</xdr:row>
      <xdr:rowOff>13607</xdr:rowOff>
    </xdr:from>
    <xdr:to>
      <xdr:col>5</xdr:col>
      <xdr:colOff>70770</xdr:colOff>
      <xdr:row>5</xdr:row>
      <xdr:rowOff>208235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4201" y="495460"/>
          <a:ext cx="840775" cy="57562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PRODUCTOS" displayName="PRODUCTOS" ref="A7:J1055" totalsRowShown="0">
  <autoFilter ref="A7:J1055"/>
  <tableColumns count="10">
    <tableColumn id="1" name="Codigo Producto "/>
    <tableColumn id="2" name="DETALLE"/>
    <tableColumn id="3" name="V/U VENTA"/>
    <tableColumn id="4" name="V/T VENTA" dataDxfId="3">
      <calculatedColumnFormula>PRODUCTOS[[#This Row],[V/U VENTA]]*PRODUCTOS[[#This Row],[CANTIDAD]]</calculatedColumnFormula>
    </tableColumn>
    <tableColumn id="5" name="Cantidad mínina"/>
    <tableColumn id="6" name="Cantidad máxima "/>
    <tableColumn id="7" name="CANTIDAD" dataDxfId="2"/>
    <tableColumn id="8" name="Estado"/>
    <tableColumn id="9" name="unidad de manejo "/>
    <tableColumn id="10" name="IV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Cliente" displayName="Cliente" ref="A7:F13" totalsRowShown="0" headerRowDxfId="1">
  <autoFilter ref="A7:F13"/>
  <tableColumns count="6">
    <tableColumn id="1" name="FECHA:" dataDxfId="0"/>
    <tableColumn id="2" name="CLIENTE:"/>
    <tableColumn id="3" name="IDENT.:"/>
    <tableColumn id="4" name="TELEFONO:"/>
    <tableColumn id="5" name="DIRECCIÓN:"/>
    <tableColumn id="6" name="Correo " dataCellStyle="Hipervíncu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showGridLines="0" showRowColHeaders="0" tabSelected="1" workbookViewId="0">
      <selection activeCell="F26" sqref="F26"/>
    </sheetView>
  </sheetViews>
  <sheetFormatPr baseColWidth="10" defaultRowHeight="15" x14ac:dyDescent="0.25"/>
  <sheetData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E993"/>
  <sheetViews>
    <sheetView workbookViewId="0">
      <selection activeCell="F6" sqref="F6"/>
    </sheetView>
  </sheetViews>
  <sheetFormatPr baseColWidth="10" defaultRowHeight="15" x14ac:dyDescent="0.25"/>
  <cols>
    <col min="1" max="1" width="10.140625" customWidth="1"/>
    <col min="2" max="2" width="7.7109375" customWidth="1"/>
    <col min="3" max="3" width="12.5703125" customWidth="1"/>
    <col min="4" max="4" width="9.42578125" customWidth="1"/>
    <col min="5" max="5" width="7.85546875" bestFit="1" customWidth="1"/>
  </cols>
  <sheetData>
    <row r="1" spans="1:31" x14ac:dyDescent="0.25">
      <c r="G1" t="s">
        <v>1358</v>
      </c>
      <c r="H1" s="66">
        <f>SUM(F6:F984)</f>
        <v>0</v>
      </c>
      <c r="AA1" s="42" t="s">
        <v>1</v>
      </c>
      <c r="AB1" s="42" t="s">
        <v>1327</v>
      </c>
      <c r="AC1" s="42" t="s">
        <v>1328</v>
      </c>
      <c r="AD1" s="42" t="s">
        <v>1353</v>
      </c>
      <c r="AE1" s="42" t="s">
        <v>1359</v>
      </c>
    </row>
    <row r="2" spans="1:31" x14ac:dyDescent="0.25">
      <c r="G2" t="s">
        <v>1359</v>
      </c>
      <c r="H2" s="66">
        <f>H1*0.12</f>
        <v>0</v>
      </c>
      <c r="AA2">
        <v>1</v>
      </c>
      <c r="AB2">
        <v>0.25</v>
      </c>
      <c r="AC2" t="s">
        <v>1752</v>
      </c>
      <c r="AD2" t="s">
        <v>620</v>
      </c>
      <c r="AE2">
        <v>0</v>
      </c>
    </row>
    <row r="3" spans="1:31" x14ac:dyDescent="0.25">
      <c r="G3" t="s">
        <v>1360</v>
      </c>
      <c r="H3" s="66">
        <f>SUM(H1:H2)</f>
        <v>0</v>
      </c>
    </row>
    <row r="4" spans="1:31" x14ac:dyDescent="0.25">
      <c r="A4">
        <f>COUNTA(A5:A11939)+5</f>
        <v>6</v>
      </c>
      <c r="B4">
        <f>COUNTA(A5:A11945)-1</f>
        <v>0</v>
      </c>
    </row>
    <row r="5" spans="1:31" x14ac:dyDescent="0.25">
      <c r="A5" s="42" t="s">
        <v>1</v>
      </c>
      <c r="B5" s="42" t="s">
        <v>1327</v>
      </c>
      <c r="C5" s="42" t="s">
        <v>1328</v>
      </c>
      <c r="D5" s="42" t="s">
        <v>1353</v>
      </c>
      <c r="E5" s="42" t="s">
        <v>1373</v>
      </c>
      <c r="F5" s="42" t="s">
        <v>1374</v>
      </c>
    </row>
    <row r="6" spans="1:31" x14ac:dyDescent="0.25">
      <c r="E6">
        <v>0</v>
      </c>
      <c r="F6" t="str">
        <f t="shared" ref="F6:F63" si="0">IF(A6="","",IF(E6=1,A6*B6+12%,A6*B6))</f>
        <v/>
      </c>
    </row>
    <row r="7" spans="1:31" x14ac:dyDescent="0.25">
      <c r="E7">
        <v>0</v>
      </c>
      <c r="F7" t="str">
        <f t="shared" si="0"/>
        <v/>
      </c>
    </row>
    <row r="8" spans="1:31" x14ac:dyDescent="0.25">
      <c r="F8" t="str">
        <f t="shared" si="0"/>
        <v/>
      </c>
    </row>
    <row r="9" spans="1:31" x14ac:dyDescent="0.25">
      <c r="F9" t="str">
        <f t="shared" si="0"/>
        <v/>
      </c>
    </row>
    <row r="10" spans="1:31" x14ac:dyDescent="0.25">
      <c r="F10" t="str">
        <f t="shared" si="0"/>
        <v/>
      </c>
    </row>
    <row r="11" spans="1:31" x14ac:dyDescent="0.25">
      <c r="F11" t="str">
        <f t="shared" si="0"/>
        <v/>
      </c>
    </row>
    <row r="12" spans="1:31" x14ac:dyDescent="0.25">
      <c r="F12" t="str">
        <f t="shared" si="0"/>
        <v/>
      </c>
    </row>
    <row r="13" spans="1:31" x14ac:dyDescent="0.25">
      <c r="F13" t="str">
        <f t="shared" si="0"/>
        <v/>
      </c>
    </row>
    <row r="14" spans="1:31" x14ac:dyDescent="0.25">
      <c r="F14" t="str">
        <f t="shared" si="0"/>
        <v/>
      </c>
    </row>
    <row r="15" spans="1:31" x14ac:dyDescent="0.25">
      <c r="F15" t="str">
        <f t="shared" si="0"/>
        <v/>
      </c>
    </row>
    <row r="16" spans="1:31" x14ac:dyDescent="0.25">
      <c r="F16" t="str">
        <f t="shared" si="0"/>
        <v/>
      </c>
    </row>
    <row r="17" spans="6:6" x14ac:dyDescent="0.25">
      <c r="F17" t="str">
        <f t="shared" si="0"/>
        <v/>
      </c>
    </row>
    <row r="18" spans="6:6" x14ac:dyDescent="0.25">
      <c r="F18" t="str">
        <f t="shared" si="0"/>
        <v/>
      </c>
    </row>
    <row r="19" spans="6:6" x14ac:dyDescent="0.25">
      <c r="F19" t="str">
        <f t="shared" si="0"/>
        <v/>
      </c>
    </row>
    <row r="20" spans="6:6" x14ac:dyDescent="0.25">
      <c r="F20" t="str">
        <f t="shared" si="0"/>
        <v/>
      </c>
    </row>
    <row r="21" spans="6:6" x14ac:dyDescent="0.25">
      <c r="F21" t="str">
        <f t="shared" si="0"/>
        <v/>
      </c>
    </row>
    <row r="22" spans="6:6" x14ac:dyDescent="0.25">
      <c r="F22" t="str">
        <f t="shared" si="0"/>
        <v/>
      </c>
    </row>
    <row r="23" spans="6:6" x14ac:dyDescent="0.25">
      <c r="F23" t="str">
        <f t="shared" si="0"/>
        <v/>
      </c>
    </row>
    <row r="24" spans="6:6" x14ac:dyDescent="0.25">
      <c r="F24" t="str">
        <f t="shared" si="0"/>
        <v/>
      </c>
    </row>
    <row r="25" spans="6:6" x14ac:dyDescent="0.25">
      <c r="F25" t="str">
        <f t="shared" si="0"/>
        <v/>
      </c>
    </row>
    <row r="26" spans="6:6" x14ac:dyDescent="0.25">
      <c r="F26" t="str">
        <f t="shared" si="0"/>
        <v/>
      </c>
    </row>
    <row r="27" spans="6:6" x14ac:dyDescent="0.25">
      <c r="F27" t="str">
        <f t="shared" si="0"/>
        <v/>
      </c>
    </row>
    <row r="28" spans="6:6" x14ac:dyDescent="0.25">
      <c r="F28" t="str">
        <f t="shared" si="0"/>
        <v/>
      </c>
    </row>
    <row r="29" spans="6:6" x14ac:dyDescent="0.25">
      <c r="F29" t="str">
        <f t="shared" si="0"/>
        <v/>
      </c>
    </row>
    <row r="30" spans="6:6" x14ac:dyDescent="0.25">
      <c r="F30" t="str">
        <f t="shared" si="0"/>
        <v/>
      </c>
    </row>
    <row r="31" spans="6:6" x14ac:dyDescent="0.25">
      <c r="F31" t="str">
        <f t="shared" si="0"/>
        <v/>
      </c>
    </row>
    <row r="32" spans="6:6" x14ac:dyDescent="0.25">
      <c r="F32" t="str">
        <f t="shared" si="0"/>
        <v/>
      </c>
    </row>
    <row r="33" spans="6:6" x14ac:dyDescent="0.25">
      <c r="F33" t="str">
        <f t="shared" si="0"/>
        <v/>
      </c>
    </row>
    <row r="34" spans="6:6" x14ac:dyDescent="0.25">
      <c r="F34" t="str">
        <f t="shared" si="0"/>
        <v/>
      </c>
    </row>
    <row r="35" spans="6:6" x14ac:dyDescent="0.25">
      <c r="F35" t="str">
        <f t="shared" si="0"/>
        <v/>
      </c>
    </row>
    <row r="36" spans="6:6" x14ac:dyDescent="0.25">
      <c r="F36" t="str">
        <f t="shared" si="0"/>
        <v/>
      </c>
    </row>
    <row r="37" spans="6:6" x14ac:dyDescent="0.25">
      <c r="F37" t="str">
        <f t="shared" si="0"/>
        <v/>
      </c>
    </row>
    <row r="38" spans="6:6" x14ac:dyDescent="0.25">
      <c r="F38" t="str">
        <f t="shared" si="0"/>
        <v/>
      </c>
    </row>
    <row r="39" spans="6:6" x14ac:dyDescent="0.25">
      <c r="F39" t="str">
        <f t="shared" si="0"/>
        <v/>
      </c>
    </row>
    <row r="40" spans="6:6" x14ac:dyDescent="0.25">
      <c r="F40" t="str">
        <f t="shared" si="0"/>
        <v/>
      </c>
    </row>
    <row r="41" spans="6:6" x14ac:dyDescent="0.25">
      <c r="F41" t="str">
        <f t="shared" si="0"/>
        <v/>
      </c>
    </row>
    <row r="42" spans="6:6" x14ac:dyDescent="0.25">
      <c r="F42" t="str">
        <f t="shared" si="0"/>
        <v/>
      </c>
    </row>
    <row r="43" spans="6:6" x14ac:dyDescent="0.25">
      <c r="F43" t="str">
        <f t="shared" si="0"/>
        <v/>
      </c>
    </row>
    <row r="44" spans="6:6" x14ac:dyDescent="0.25">
      <c r="F44" t="str">
        <f t="shared" si="0"/>
        <v/>
      </c>
    </row>
    <row r="45" spans="6:6" x14ac:dyDescent="0.25">
      <c r="F45" t="str">
        <f t="shared" si="0"/>
        <v/>
      </c>
    </row>
    <row r="46" spans="6:6" x14ac:dyDescent="0.25">
      <c r="F46" t="str">
        <f t="shared" si="0"/>
        <v/>
      </c>
    </row>
    <row r="47" spans="6:6" x14ac:dyDescent="0.25">
      <c r="F47" t="str">
        <f t="shared" si="0"/>
        <v/>
      </c>
    </row>
    <row r="48" spans="6:6" x14ac:dyDescent="0.25">
      <c r="F48" t="str">
        <f t="shared" si="0"/>
        <v/>
      </c>
    </row>
    <row r="49" spans="6:6" x14ac:dyDescent="0.25">
      <c r="F49" t="str">
        <f t="shared" si="0"/>
        <v/>
      </c>
    </row>
    <row r="50" spans="6:6" x14ac:dyDescent="0.25">
      <c r="F50" t="str">
        <f t="shared" si="0"/>
        <v/>
      </c>
    </row>
    <row r="51" spans="6:6" x14ac:dyDescent="0.25">
      <c r="F51" t="str">
        <f t="shared" si="0"/>
        <v/>
      </c>
    </row>
    <row r="52" spans="6:6" x14ac:dyDescent="0.25">
      <c r="F52" t="str">
        <f t="shared" si="0"/>
        <v/>
      </c>
    </row>
    <row r="53" spans="6:6" x14ac:dyDescent="0.25">
      <c r="F53" t="str">
        <f t="shared" si="0"/>
        <v/>
      </c>
    </row>
    <row r="54" spans="6:6" x14ac:dyDescent="0.25">
      <c r="F54" t="str">
        <f t="shared" si="0"/>
        <v/>
      </c>
    </row>
    <row r="55" spans="6:6" x14ac:dyDescent="0.25">
      <c r="F55" t="str">
        <f t="shared" si="0"/>
        <v/>
      </c>
    </row>
    <row r="56" spans="6:6" x14ac:dyDescent="0.25">
      <c r="F56" t="str">
        <f t="shared" si="0"/>
        <v/>
      </c>
    </row>
    <row r="57" spans="6:6" x14ac:dyDescent="0.25">
      <c r="F57" t="str">
        <f t="shared" si="0"/>
        <v/>
      </c>
    </row>
    <row r="58" spans="6:6" x14ac:dyDescent="0.25">
      <c r="F58" t="str">
        <f t="shared" si="0"/>
        <v/>
      </c>
    </row>
    <row r="59" spans="6:6" x14ac:dyDescent="0.25">
      <c r="F59" t="str">
        <f t="shared" si="0"/>
        <v/>
      </c>
    </row>
    <row r="60" spans="6:6" x14ac:dyDescent="0.25">
      <c r="F60" t="str">
        <f t="shared" si="0"/>
        <v/>
      </c>
    </row>
    <row r="61" spans="6:6" x14ac:dyDescent="0.25">
      <c r="F61" t="str">
        <f t="shared" si="0"/>
        <v/>
      </c>
    </row>
    <row r="62" spans="6:6" x14ac:dyDescent="0.25">
      <c r="F62" t="str">
        <f t="shared" si="0"/>
        <v/>
      </c>
    </row>
    <row r="63" spans="6:6" x14ac:dyDescent="0.25">
      <c r="F63" t="str">
        <f t="shared" si="0"/>
        <v/>
      </c>
    </row>
    <row r="64" spans="6:6" x14ac:dyDescent="0.25">
      <c r="F64" t="str">
        <f t="shared" ref="F64:F127" si="1">IF(A64="","",IF(E64=1,A64*B64+12%,A64*B64))</f>
        <v/>
      </c>
    </row>
    <row r="65" spans="6:6" x14ac:dyDescent="0.25">
      <c r="F65" t="str">
        <f t="shared" si="1"/>
        <v/>
      </c>
    </row>
    <row r="66" spans="6:6" x14ac:dyDescent="0.25">
      <c r="F66" t="str">
        <f t="shared" si="1"/>
        <v/>
      </c>
    </row>
    <row r="67" spans="6:6" x14ac:dyDescent="0.25">
      <c r="F67" t="str">
        <f t="shared" si="1"/>
        <v/>
      </c>
    </row>
    <row r="68" spans="6:6" x14ac:dyDescent="0.25">
      <c r="F68" t="str">
        <f t="shared" si="1"/>
        <v/>
      </c>
    </row>
    <row r="69" spans="6:6" x14ac:dyDescent="0.25">
      <c r="F69" t="str">
        <f t="shared" si="1"/>
        <v/>
      </c>
    </row>
    <row r="70" spans="6:6" x14ac:dyDescent="0.25">
      <c r="F70" t="str">
        <f t="shared" si="1"/>
        <v/>
      </c>
    </row>
    <row r="71" spans="6:6" x14ac:dyDescent="0.25">
      <c r="F71" t="str">
        <f t="shared" si="1"/>
        <v/>
      </c>
    </row>
    <row r="72" spans="6:6" x14ac:dyDescent="0.25">
      <c r="F72" t="str">
        <f t="shared" si="1"/>
        <v/>
      </c>
    </row>
    <row r="73" spans="6:6" x14ac:dyDescent="0.25">
      <c r="F73" t="str">
        <f t="shared" si="1"/>
        <v/>
      </c>
    </row>
    <row r="74" spans="6:6" x14ac:dyDescent="0.25">
      <c r="F74" t="str">
        <f t="shared" si="1"/>
        <v/>
      </c>
    </row>
    <row r="75" spans="6:6" x14ac:dyDescent="0.25">
      <c r="F75" t="str">
        <f t="shared" si="1"/>
        <v/>
      </c>
    </row>
    <row r="76" spans="6:6" x14ac:dyDescent="0.25">
      <c r="F76" t="str">
        <f t="shared" si="1"/>
        <v/>
      </c>
    </row>
    <row r="77" spans="6:6" x14ac:dyDescent="0.25">
      <c r="F77" t="str">
        <f t="shared" si="1"/>
        <v/>
      </c>
    </row>
    <row r="78" spans="6:6" x14ac:dyDescent="0.25">
      <c r="F78" t="str">
        <f t="shared" si="1"/>
        <v/>
      </c>
    </row>
    <row r="79" spans="6:6" x14ac:dyDescent="0.25">
      <c r="F79" t="str">
        <f t="shared" si="1"/>
        <v/>
      </c>
    </row>
    <row r="80" spans="6:6" x14ac:dyDescent="0.25">
      <c r="F80" t="str">
        <f t="shared" si="1"/>
        <v/>
      </c>
    </row>
    <row r="81" spans="6:6" x14ac:dyDescent="0.25">
      <c r="F81" t="str">
        <f t="shared" si="1"/>
        <v/>
      </c>
    </row>
    <row r="82" spans="6:6" x14ac:dyDescent="0.25">
      <c r="F82" t="str">
        <f t="shared" si="1"/>
        <v/>
      </c>
    </row>
    <row r="83" spans="6:6" x14ac:dyDescent="0.25">
      <c r="F83" t="str">
        <f t="shared" si="1"/>
        <v/>
      </c>
    </row>
    <row r="84" spans="6:6" x14ac:dyDescent="0.25">
      <c r="F84" t="str">
        <f t="shared" si="1"/>
        <v/>
      </c>
    </row>
    <row r="85" spans="6:6" x14ac:dyDescent="0.25">
      <c r="F85" t="str">
        <f t="shared" si="1"/>
        <v/>
      </c>
    </row>
    <row r="86" spans="6:6" x14ac:dyDescent="0.25">
      <c r="F86" t="str">
        <f t="shared" si="1"/>
        <v/>
      </c>
    </row>
    <row r="87" spans="6:6" x14ac:dyDescent="0.25">
      <c r="F87" t="str">
        <f t="shared" si="1"/>
        <v/>
      </c>
    </row>
    <row r="88" spans="6:6" x14ac:dyDescent="0.25">
      <c r="F88" t="str">
        <f t="shared" si="1"/>
        <v/>
      </c>
    </row>
    <row r="89" spans="6:6" x14ac:dyDescent="0.25">
      <c r="F89" t="str">
        <f t="shared" si="1"/>
        <v/>
      </c>
    </row>
    <row r="90" spans="6:6" x14ac:dyDescent="0.25">
      <c r="F90" t="str">
        <f t="shared" si="1"/>
        <v/>
      </c>
    </row>
    <row r="91" spans="6:6" x14ac:dyDescent="0.25">
      <c r="F91" t="str">
        <f t="shared" si="1"/>
        <v/>
      </c>
    </row>
    <row r="92" spans="6:6" x14ac:dyDescent="0.25">
      <c r="F92" t="str">
        <f t="shared" si="1"/>
        <v/>
      </c>
    </row>
    <row r="93" spans="6:6" x14ac:dyDescent="0.25">
      <c r="F93" t="str">
        <f t="shared" si="1"/>
        <v/>
      </c>
    </row>
    <row r="94" spans="6:6" x14ac:dyDescent="0.25">
      <c r="F94" t="str">
        <f t="shared" si="1"/>
        <v/>
      </c>
    </row>
    <row r="95" spans="6:6" x14ac:dyDescent="0.25">
      <c r="F95" t="str">
        <f t="shared" si="1"/>
        <v/>
      </c>
    </row>
    <row r="96" spans="6:6" x14ac:dyDescent="0.25">
      <c r="F96" t="str">
        <f t="shared" si="1"/>
        <v/>
      </c>
    </row>
    <row r="97" spans="6:6" x14ac:dyDescent="0.25">
      <c r="F97" t="str">
        <f t="shared" si="1"/>
        <v/>
      </c>
    </row>
    <row r="98" spans="6:6" x14ac:dyDescent="0.25">
      <c r="F98" t="str">
        <f t="shared" si="1"/>
        <v/>
      </c>
    </row>
    <row r="99" spans="6:6" x14ac:dyDescent="0.25">
      <c r="F99" t="str">
        <f t="shared" si="1"/>
        <v/>
      </c>
    </row>
    <row r="100" spans="6:6" x14ac:dyDescent="0.25">
      <c r="F100" t="str">
        <f t="shared" si="1"/>
        <v/>
      </c>
    </row>
    <row r="101" spans="6:6" x14ac:dyDescent="0.25">
      <c r="F101" t="str">
        <f t="shared" si="1"/>
        <v/>
      </c>
    </row>
    <row r="102" spans="6:6" x14ac:dyDescent="0.25">
      <c r="F102" t="str">
        <f t="shared" si="1"/>
        <v/>
      </c>
    </row>
    <row r="103" spans="6:6" x14ac:dyDescent="0.25">
      <c r="F103" t="str">
        <f t="shared" si="1"/>
        <v/>
      </c>
    </row>
    <row r="104" spans="6:6" x14ac:dyDescent="0.25">
      <c r="F104" t="str">
        <f t="shared" si="1"/>
        <v/>
      </c>
    </row>
    <row r="105" spans="6:6" x14ac:dyDescent="0.25">
      <c r="F105" t="str">
        <f t="shared" si="1"/>
        <v/>
      </c>
    </row>
    <row r="106" spans="6:6" x14ac:dyDescent="0.25">
      <c r="F106" t="str">
        <f t="shared" si="1"/>
        <v/>
      </c>
    </row>
    <row r="107" spans="6:6" x14ac:dyDescent="0.25">
      <c r="F107" t="str">
        <f t="shared" si="1"/>
        <v/>
      </c>
    </row>
    <row r="108" spans="6:6" x14ac:dyDescent="0.25">
      <c r="F108" t="str">
        <f t="shared" si="1"/>
        <v/>
      </c>
    </row>
    <row r="109" spans="6:6" x14ac:dyDescent="0.25">
      <c r="F109" t="str">
        <f t="shared" si="1"/>
        <v/>
      </c>
    </row>
    <row r="110" spans="6:6" x14ac:dyDescent="0.25">
      <c r="F110" t="str">
        <f t="shared" si="1"/>
        <v/>
      </c>
    </row>
    <row r="111" spans="6:6" x14ac:dyDescent="0.25">
      <c r="F111" t="str">
        <f t="shared" si="1"/>
        <v/>
      </c>
    </row>
    <row r="112" spans="6:6" x14ac:dyDescent="0.25">
      <c r="F112" t="str">
        <f t="shared" si="1"/>
        <v/>
      </c>
    </row>
    <row r="113" spans="6:6" x14ac:dyDescent="0.25">
      <c r="F113" t="str">
        <f t="shared" si="1"/>
        <v/>
      </c>
    </row>
    <row r="114" spans="6:6" x14ac:dyDescent="0.25">
      <c r="F114" t="str">
        <f t="shared" si="1"/>
        <v/>
      </c>
    </row>
    <row r="115" spans="6:6" x14ac:dyDescent="0.25">
      <c r="F115" t="str">
        <f t="shared" si="1"/>
        <v/>
      </c>
    </row>
    <row r="116" spans="6:6" x14ac:dyDescent="0.25">
      <c r="F116" t="str">
        <f t="shared" si="1"/>
        <v/>
      </c>
    </row>
    <row r="117" spans="6:6" x14ac:dyDescent="0.25">
      <c r="F117" t="str">
        <f t="shared" si="1"/>
        <v/>
      </c>
    </row>
    <row r="118" spans="6:6" x14ac:dyDescent="0.25">
      <c r="F118" t="str">
        <f t="shared" si="1"/>
        <v/>
      </c>
    </row>
    <row r="119" spans="6:6" x14ac:dyDescent="0.25">
      <c r="F119" t="str">
        <f t="shared" si="1"/>
        <v/>
      </c>
    </row>
    <row r="120" spans="6:6" x14ac:dyDescent="0.25">
      <c r="F120" t="str">
        <f t="shared" si="1"/>
        <v/>
      </c>
    </row>
    <row r="121" spans="6:6" x14ac:dyDescent="0.25">
      <c r="F121" t="str">
        <f t="shared" si="1"/>
        <v/>
      </c>
    </row>
    <row r="122" spans="6:6" x14ac:dyDescent="0.25">
      <c r="F122" t="str">
        <f t="shared" si="1"/>
        <v/>
      </c>
    </row>
    <row r="123" spans="6:6" x14ac:dyDescent="0.25">
      <c r="F123" t="str">
        <f t="shared" si="1"/>
        <v/>
      </c>
    </row>
    <row r="124" spans="6:6" x14ac:dyDescent="0.25">
      <c r="F124" t="str">
        <f t="shared" si="1"/>
        <v/>
      </c>
    </row>
    <row r="125" spans="6:6" x14ac:dyDescent="0.25">
      <c r="F125" t="str">
        <f t="shared" si="1"/>
        <v/>
      </c>
    </row>
    <row r="126" spans="6:6" x14ac:dyDescent="0.25">
      <c r="F126" t="str">
        <f t="shared" si="1"/>
        <v/>
      </c>
    </row>
    <row r="127" spans="6:6" x14ac:dyDescent="0.25">
      <c r="F127" t="str">
        <f t="shared" si="1"/>
        <v/>
      </c>
    </row>
    <row r="128" spans="6:6" x14ac:dyDescent="0.25">
      <c r="F128" t="str">
        <f t="shared" ref="F128:F191" si="2">IF(A128="","",IF(E128=1,A128*B128+12%,A128*B128))</f>
        <v/>
      </c>
    </row>
    <row r="129" spans="6:6" x14ac:dyDescent="0.25">
      <c r="F129" t="str">
        <f t="shared" si="2"/>
        <v/>
      </c>
    </row>
    <row r="130" spans="6:6" x14ac:dyDescent="0.25">
      <c r="F130" t="str">
        <f t="shared" si="2"/>
        <v/>
      </c>
    </row>
    <row r="131" spans="6:6" x14ac:dyDescent="0.25">
      <c r="F131" t="str">
        <f t="shared" si="2"/>
        <v/>
      </c>
    </row>
    <row r="132" spans="6:6" x14ac:dyDescent="0.25">
      <c r="F132" t="str">
        <f t="shared" si="2"/>
        <v/>
      </c>
    </row>
    <row r="133" spans="6:6" x14ac:dyDescent="0.25">
      <c r="F133" t="str">
        <f t="shared" si="2"/>
        <v/>
      </c>
    </row>
    <row r="134" spans="6:6" x14ac:dyDescent="0.25">
      <c r="F134" t="str">
        <f t="shared" si="2"/>
        <v/>
      </c>
    </row>
    <row r="135" spans="6:6" x14ac:dyDescent="0.25">
      <c r="F135" t="str">
        <f t="shared" si="2"/>
        <v/>
      </c>
    </row>
    <row r="136" spans="6:6" x14ac:dyDescent="0.25">
      <c r="F136" t="str">
        <f t="shared" si="2"/>
        <v/>
      </c>
    </row>
    <row r="137" spans="6:6" x14ac:dyDescent="0.25">
      <c r="F137" t="str">
        <f t="shared" si="2"/>
        <v/>
      </c>
    </row>
    <row r="138" spans="6:6" x14ac:dyDescent="0.25">
      <c r="F138" t="str">
        <f t="shared" si="2"/>
        <v/>
      </c>
    </row>
    <row r="139" spans="6:6" x14ac:dyDescent="0.25">
      <c r="F139" t="str">
        <f t="shared" si="2"/>
        <v/>
      </c>
    </row>
    <row r="140" spans="6:6" x14ac:dyDescent="0.25">
      <c r="F140" t="str">
        <f t="shared" si="2"/>
        <v/>
      </c>
    </row>
    <row r="141" spans="6:6" x14ac:dyDescent="0.25">
      <c r="F141" t="str">
        <f t="shared" si="2"/>
        <v/>
      </c>
    </row>
    <row r="142" spans="6:6" x14ac:dyDescent="0.25">
      <c r="F142" t="str">
        <f t="shared" si="2"/>
        <v/>
      </c>
    </row>
    <row r="143" spans="6:6" x14ac:dyDescent="0.25">
      <c r="F143" t="str">
        <f t="shared" si="2"/>
        <v/>
      </c>
    </row>
    <row r="144" spans="6:6" x14ac:dyDescent="0.25">
      <c r="F144" t="str">
        <f t="shared" si="2"/>
        <v/>
      </c>
    </row>
    <row r="145" spans="6:6" x14ac:dyDescent="0.25">
      <c r="F145" t="str">
        <f t="shared" si="2"/>
        <v/>
      </c>
    </row>
    <row r="146" spans="6:6" x14ac:dyDescent="0.25">
      <c r="F146" t="str">
        <f t="shared" si="2"/>
        <v/>
      </c>
    </row>
    <row r="147" spans="6:6" x14ac:dyDescent="0.25">
      <c r="F147" t="str">
        <f t="shared" si="2"/>
        <v/>
      </c>
    </row>
    <row r="148" spans="6:6" x14ac:dyDescent="0.25">
      <c r="F148" t="str">
        <f t="shared" si="2"/>
        <v/>
      </c>
    </row>
    <row r="149" spans="6:6" x14ac:dyDescent="0.25">
      <c r="F149" t="str">
        <f t="shared" si="2"/>
        <v/>
      </c>
    </row>
    <row r="150" spans="6:6" x14ac:dyDescent="0.25">
      <c r="F150" t="str">
        <f t="shared" si="2"/>
        <v/>
      </c>
    </row>
    <row r="151" spans="6:6" x14ac:dyDescent="0.25">
      <c r="F151" t="str">
        <f t="shared" si="2"/>
        <v/>
      </c>
    </row>
    <row r="152" spans="6:6" x14ac:dyDescent="0.25">
      <c r="F152" t="str">
        <f t="shared" si="2"/>
        <v/>
      </c>
    </row>
    <row r="153" spans="6:6" x14ac:dyDescent="0.25">
      <c r="F153" t="str">
        <f t="shared" si="2"/>
        <v/>
      </c>
    </row>
    <row r="154" spans="6:6" x14ac:dyDescent="0.25">
      <c r="F154" t="str">
        <f t="shared" si="2"/>
        <v/>
      </c>
    </row>
    <row r="155" spans="6:6" x14ac:dyDescent="0.25">
      <c r="F155" t="str">
        <f t="shared" si="2"/>
        <v/>
      </c>
    </row>
    <row r="156" spans="6:6" x14ac:dyDescent="0.25">
      <c r="F156" t="str">
        <f t="shared" si="2"/>
        <v/>
      </c>
    </row>
    <row r="157" spans="6:6" x14ac:dyDescent="0.25">
      <c r="F157" t="str">
        <f t="shared" si="2"/>
        <v/>
      </c>
    </row>
    <row r="158" spans="6:6" x14ac:dyDescent="0.25">
      <c r="F158" t="str">
        <f t="shared" si="2"/>
        <v/>
      </c>
    </row>
    <row r="159" spans="6:6" x14ac:dyDescent="0.25">
      <c r="F159" t="str">
        <f t="shared" si="2"/>
        <v/>
      </c>
    </row>
    <row r="160" spans="6:6" x14ac:dyDescent="0.25">
      <c r="F160" t="str">
        <f t="shared" si="2"/>
        <v/>
      </c>
    </row>
    <row r="161" spans="6:6" x14ac:dyDescent="0.25">
      <c r="F161" t="str">
        <f t="shared" si="2"/>
        <v/>
      </c>
    </row>
    <row r="162" spans="6:6" x14ac:dyDescent="0.25">
      <c r="F162" t="str">
        <f t="shared" si="2"/>
        <v/>
      </c>
    </row>
    <row r="163" spans="6:6" x14ac:dyDescent="0.25">
      <c r="F163" t="str">
        <f t="shared" si="2"/>
        <v/>
      </c>
    </row>
    <row r="164" spans="6:6" x14ac:dyDescent="0.25">
      <c r="F164" t="str">
        <f t="shared" si="2"/>
        <v/>
      </c>
    </row>
    <row r="165" spans="6:6" x14ac:dyDescent="0.25">
      <c r="F165" t="str">
        <f t="shared" si="2"/>
        <v/>
      </c>
    </row>
    <row r="166" spans="6:6" x14ac:dyDescent="0.25">
      <c r="F166" t="str">
        <f t="shared" si="2"/>
        <v/>
      </c>
    </row>
    <row r="167" spans="6:6" x14ac:dyDescent="0.25">
      <c r="F167" t="str">
        <f t="shared" si="2"/>
        <v/>
      </c>
    </row>
    <row r="168" spans="6:6" x14ac:dyDescent="0.25">
      <c r="F168" t="str">
        <f t="shared" si="2"/>
        <v/>
      </c>
    </row>
    <row r="169" spans="6:6" x14ac:dyDescent="0.25">
      <c r="F169" t="str">
        <f t="shared" si="2"/>
        <v/>
      </c>
    </row>
    <row r="170" spans="6:6" x14ac:dyDescent="0.25">
      <c r="F170" t="str">
        <f t="shared" si="2"/>
        <v/>
      </c>
    </row>
    <row r="171" spans="6:6" x14ac:dyDescent="0.25">
      <c r="F171" t="str">
        <f t="shared" si="2"/>
        <v/>
      </c>
    </row>
    <row r="172" spans="6:6" x14ac:dyDescent="0.25">
      <c r="F172" t="str">
        <f t="shared" si="2"/>
        <v/>
      </c>
    </row>
    <row r="173" spans="6:6" x14ac:dyDescent="0.25">
      <c r="F173" t="str">
        <f t="shared" si="2"/>
        <v/>
      </c>
    </row>
    <row r="174" spans="6:6" x14ac:dyDescent="0.25">
      <c r="F174" t="str">
        <f t="shared" si="2"/>
        <v/>
      </c>
    </row>
    <row r="175" spans="6:6" x14ac:dyDescent="0.25">
      <c r="F175" t="str">
        <f t="shared" si="2"/>
        <v/>
      </c>
    </row>
    <row r="176" spans="6:6" x14ac:dyDescent="0.25">
      <c r="F176" t="str">
        <f t="shared" si="2"/>
        <v/>
      </c>
    </row>
    <row r="177" spans="6:6" x14ac:dyDescent="0.25">
      <c r="F177" t="str">
        <f t="shared" si="2"/>
        <v/>
      </c>
    </row>
    <row r="178" spans="6:6" x14ac:dyDescent="0.25">
      <c r="F178" t="str">
        <f t="shared" si="2"/>
        <v/>
      </c>
    </row>
    <row r="179" spans="6:6" x14ac:dyDescent="0.25">
      <c r="F179" t="str">
        <f t="shared" si="2"/>
        <v/>
      </c>
    </row>
    <row r="180" spans="6:6" x14ac:dyDescent="0.25">
      <c r="F180" t="str">
        <f t="shared" si="2"/>
        <v/>
      </c>
    </row>
    <row r="181" spans="6:6" x14ac:dyDescent="0.25">
      <c r="F181" t="str">
        <f t="shared" si="2"/>
        <v/>
      </c>
    </row>
    <row r="182" spans="6:6" x14ac:dyDescent="0.25">
      <c r="F182" t="str">
        <f t="shared" si="2"/>
        <v/>
      </c>
    </row>
    <row r="183" spans="6:6" x14ac:dyDescent="0.25">
      <c r="F183" t="str">
        <f t="shared" si="2"/>
        <v/>
      </c>
    </row>
    <row r="184" spans="6:6" x14ac:dyDescent="0.25">
      <c r="F184" t="str">
        <f t="shared" si="2"/>
        <v/>
      </c>
    </row>
    <row r="185" spans="6:6" x14ac:dyDescent="0.25">
      <c r="F185" t="str">
        <f t="shared" si="2"/>
        <v/>
      </c>
    </row>
    <row r="186" spans="6:6" x14ac:dyDescent="0.25">
      <c r="F186" t="str">
        <f t="shared" si="2"/>
        <v/>
      </c>
    </row>
    <row r="187" spans="6:6" x14ac:dyDescent="0.25">
      <c r="F187" t="str">
        <f t="shared" si="2"/>
        <v/>
      </c>
    </row>
    <row r="188" spans="6:6" x14ac:dyDescent="0.25">
      <c r="F188" t="str">
        <f t="shared" si="2"/>
        <v/>
      </c>
    </row>
    <row r="189" spans="6:6" x14ac:dyDescent="0.25">
      <c r="F189" t="str">
        <f t="shared" si="2"/>
        <v/>
      </c>
    </row>
    <row r="190" spans="6:6" x14ac:dyDescent="0.25">
      <c r="F190" t="str">
        <f t="shared" si="2"/>
        <v/>
      </c>
    </row>
    <row r="191" spans="6:6" x14ac:dyDescent="0.25">
      <c r="F191" t="str">
        <f t="shared" si="2"/>
        <v/>
      </c>
    </row>
    <row r="192" spans="6:6" x14ac:dyDescent="0.25">
      <c r="F192" t="str">
        <f t="shared" ref="F192:F255" si="3">IF(A192="","",IF(E192=1,A192*B192+12%,A192*B192))</f>
        <v/>
      </c>
    </row>
    <row r="193" spans="6:6" x14ac:dyDescent="0.25">
      <c r="F193" t="str">
        <f t="shared" si="3"/>
        <v/>
      </c>
    </row>
    <row r="194" spans="6:6" x14ac:dyDescent="0.25">
      <c r="F194" t="str">
        <f t="shared" si="3"/>
        <v/>
      </c>
    </row>
    <row r="195" spans="6:6" x14ac:dyDescent="0.25">
      <c r="F195" t="str">
        <f t="shared" si="3"/>
        <v/>
      </c>
    </row>
    <row r="196" spans="6:6" x14ac:dyDescent="0.25">
      <c r="F196" t="str">
        <f t="shared" si="3"/>
        <v/>
      </c>
    </row>
    <row r="197" spans="6:6" x14ac:dyDescent="0.25">
      <c r="F197" t="str">
        <f t="shared" si="3"/>
        <v/>
      </c>
    </row>
    <row r="198" spans="6:6" x14ac:dyDescent="0.25">
      <c r="F198" t="str">
        <f t="shared" si="3"/>
        <v/>
      </c>
    </row>
    <row r="199" spans="6:6" x14ac:dyDescent="0.25">
      <c r="F199" t="str">
        <f t="shared" si="3"/>
        <v/>
      </c>
    </row>
    <row r="200" spans="6:6" x14ac:dyDescent="0.25">
      <c r="F200" t="str">
        <f t="shared" si="3"/>
        <v/>
      </c>
    </row>
    <row r="201" spans="6:6" x14ac:dyDescent="0.25">
      <c r="F201" t="str">
        <f t="shared" si="3"/>
        <v/>
      </c>
    </row>
    <row r="202" spans="6:6" x14ac:dyDescent="0.25">
      <c r="F202" t="str">
        <f t="shared" si="3"/>
        <v/>
      </c>
    </row>
    <row r="203" spans="6:6" x14ac:dyDescent="0.25">
      <c r="F203" t="str">
        <f t="shared" si="3"/>
        <v/>
      </c>
    </row>
    <row r="204" spans="6:6" x14ac:dyDescent="0.25">
      <c r="F204" t="str">
        <f t="shared" si="3"/>
        <v/>
      </c>
    </row>
    <row r="205" spans="6:6" x14ac:dyDescent="0.25">
      <c r="F205" t="str">
        <f t="shared" si="3"/>
        <v/>
      </c>
    </row>
    <row r="206" spans="6:6" x14ac:dyDescent="0.25">
      <c r="F206" t="str">
        <f t="shared" si="3"/>
        <v/>
      </c>
    </row>
    <row r="207" spans="6:6" x14ac:dyDescent="0.25">
      <c r="F207" t="str">
        <f t="shared" si="3"/>
        <v/>
      </c>
    </row>
    <row r="208" spans="6:6" x14ac:dyDescent="0.25">
      <c r="F208" t="str">
        <f t="shared" si="3"/>
        <v/>
      </c>
    </row>
    <row r="209" spans="6:6" x14ac:dyDescent="0.25">
      <c r="F209" t="str">
        <f t="shared" si="3"/>
        <v/>
      </c>
    </row>
    <row r="210" spans="6:6" x14ac:dyDescent="0.25">
      <c r="F210" t="str">
        <f t="shared" si="3"/>
        <v/>
      </c>
    </row>
    <row r="211" spans="6:6" x14ac:dyDescent="0.25">
      <c r="F211" t="str">
        <f t="shared" si="3"/>
        <v/>
      </c>
    </row>
    <row r="212" spans="6:6" x14ac:dyDescent="0.25">
      <c r="F212" t="str">
        <f t="shared" si="3"/>
        <v/>
      </c>
    </row>
    <row r="213" spans="6:6" x14ac:dyDescent="0.25">
      <c r="F213" t="str">
        <f t="shared" si="3"/>
        <v/>
      </c>
    </row>
    <row r="214" spans="6:6" x14ac:dyDescent="0.25">
      <c r="F214" t="str">
        <f t="shared" si="3"/>
        <v/>
      </c>
    </row>
    <row r="215" spans="6:6" x14ac:dyDescent="0.25">
      <c r="F215" t="str">
        <f t="shared" si="3"/>
        <v/>
      </c>
    </row>
    <row r="216" spans="6:6" x14ac:dyDescent="0.25">
      <c r="F216" t="str">
        <f t="shared" si="3"/>
        <v/>
      </c>
    </row>
    <row r="217" spans="6:6" x14ac:dyDescent="0.25">
      <c r="F217" t="str">
        <f t="shared" si="3"/>
        <v/>
      </c>
    </row>
    <row r="218" spans="6:6" x14ac:dyDescent="0.25">
      <c r="F218" t="str">
        <f t="shared" si="3"/>
        <v/>
      </c>
    </row>
    <row r="219" spans="6:6" x14ac:dyDescent="0.25">
      <c r="F219" t="str">
        <f t="shared" si="3"/>
        <v/>
      </c>
    </row>
    <row r="220" spans="6:6" x14ac:dyDescent="0.25">
      <c r="F220" t="str">
        <f t="shared" si="3"/>
        <v/>
      </c>
    </row>
    <row r="221" spans="6:6" x14ac:dyDescent="0.25">
      <c r="F221" t="str">
        <f t="shared" si="3"/>
        <v/>
      </c>
    </row>
    <row r="222" spans="6:6" x14ac:dyDescent="0.25">
      <c r="F222" t="str">
        <f t="shared" si="3"/>
        <v/>
      </c>
    </row>
    <row r="223" spans="6:6" x14ac:dyDescent="0.25">
      <c r="F223" t="str">
        <f t="shared" si="3"/>
        <v/>
      </c>
    </row>
    <row r="224" spans="6:6" x14ac:dyDescent="0.25">
      <c r="F224" t="str">
        <f t="shared" si="3"/>
        <v/>
      </c>
    </row>
    <row r="225" spans="6:6" x14ac:dyDescent="0.25">
      <c r="F225" t="str">
        <f t="shared" si="3"/>
        <v/>
      </c>
    </row>
    <row r="226" spans="6:6" x14ac:dyDescent="0.25">
      <c r="F226" t="str">
        <f t="shared" si="3"/>
        <v/>
      </c>
    </row>
    <row r="227" spans="6:6" x14ac:dyDescent="0.25">
      <c r="F227" t="str">
        <f t="shared" si="3"/>
        <v/>
      </c>
    </row>
    <row r="228" spans="6:6" x14ac:dyDescent="0.25">
      <c r="F228" t="str">
        <f t="shared" si="3"/>
        <v/>
      </c>
    </row>
    <row r="229" spans="6:6" x14ac:dyDescent="0.25">
      <c r="F229" t="str">
        <f t="shared" si="3"/>
        <v/>
      </c>
    </row>
    <row r="230" spans="6:6" x14ac:dyDescent="0.25">
      <c r="F230" t="str">
        <f t="shared" si="3"/>
        <v/>
      </c>
    </row>
    <row r="231" spans="6:6" x14ac:dyDescent="0.25">
      <c r="F231" t="str">
        <f t="shared" si="3"/>
        <v/>
      </c>
    </row>
    <row r="232" spans="6:6" x14ac:dyDescent="0.25">
      <c r="F232" t="str">
        <f t="shared" si="3"/>
        <v/>
      </c>
    </row>
    <row r="233" spans="6:6" x14ac:dyDescent="0.25">
      <c r="F233" t="str">
        <f t="shared" si="3"/>
        <v/>
      </c>
    </row>
    <row r="234" spans="6:6" x14ac:dyDescent="0.25">
      <c r="F234" t="str">
        <f t="shared" si="3"/>
        <v/>
      </c>
    </row>
    <row r="235" spans="6:6" x14ac:dyDescent="0.25">
      <c r="F235" t="str">
        <f t="shared" si="3"/>
        <v/>
      </c>
    </row>
    <row r="236" spans="6:6" x14ac:dyDescent="0.25">
      <c r="F236" t="str">
        <f t="shared" si="3"/>
        <v/>
      </c>
    </row>
    <row r="237" spans="6:6" x14ac:dyDescent="0.25">
      <c r="F237" t="str">
        <f t="shared" si="3"/>
        <v/>
      </c>
    </row>
    <row r="238" spans="6:6" x14ac:dyDescent="0.25">
      <c r="F238" t="str">
        <f t="shared" si="3"/>
        <v/>
      </c>
    </row>
    <row r="239" spans="6:6" x14ac:dyDescent="0.25">
      <c r="F239" t="str">
        <f t="shared" si="3"/>
        <v/>
      </c>
    </row>
    <row r="240" spans="6:6" x14ac:dyDescent="0.25">
      <c r="F240" t="str">
        <f t="shared" si="3"/>
        <v/>
      </c>
    </row>
    <row r="241" spans="6:6" x14ac:dyDescent="0.25">
      <c r="F241" t="str">
        <f t="shared" si="3"/>
        <v/>
      </c>
    </row>
    <row r="242" spans="6:6" x14ac:dyDescent="0.25">
      <c r="F242" t="str">
        <f t="shared" si="3"/>
        <v/>
      </c>
    </row>
    <row r="243" spans="6:6" x14ac:dyDescent="0.25">
      <c r="F243" t="str">
        <f t="shared" si="3"/>
        <v/>
      </c>
    </row>
    <row r="244" spans="6:6" x14ac:dyDescent="0.25">
      <c r="F244" t="str">
        <f t="shared" si="3"/>
        <v/>
      </c>
    </row>
    <row r="245" spans="6:6" x14ac:dyDescent="0.25">
      <c r="F245" t="str">
        <f t="shared" si="3"/>
        <v/>
      </c>
    </row>
    <row r="246" spans="6:6" x14ac:dyDescent="0.25">
      <c r="F246" t="str">
        <f t="shared" si="3"/>
        <v/>
      </c>
    </row>
    <row r="247" spans="6:6" x14ac:dyDescent="0.25">
      <c r="F247" t="str">
        <f t="shared" si="3"/>
        <v/>
      </c>
    </row>
    <row r="248" spans="6:6" x14ac:dyDescent="0.25">
      <c r="F248" t="str">
        <f t="shared" si="3"/>
        <v/>
      </c>
    </row>
    <row r="249" spans="6:6" x14ac:dyDescent="0.25">
      <c r="F249" t="str">
        <f t="shared" si="3"/>
        <v/>
      </c>
    </row>
    <row r="250" spans="6:6" x14ac:dyDescent="0.25">
      <c r="F250" t="str">
        <f t="shared" si="3"/>
        <v/>
      </c>
    </row>
    <row r="251" spans="6:6" x14ac:dyDescent="0.25">
      <c r="F251" t="str">
        <f t="shared" si="3"/>
        <v/>
      </c>
    </row>
    <row r="252" spans="6:6" x14ac:dyDescent="0.25">
      <c r="F252" t="str">
        <f t="shared" si="3"/>
        <v/>
      </c>
    </row>
    <row r="253" spans="6:6" x14ac:dyDescent="0.25">
      <c r="F253" t="str">
        <f t="shared" si="3"/>
        <v/>
      </c>
    </row>
    <row r="254" spans="6:6" x14ac:dyDescent="0.25">
      <c r="F254" t="str">
        <f t="shared" si="3"/>
        <v/>
      </c>
    </row>
    <row r="255" spans="6:6" x14ac:dyDescent="0.25">
      <c r="F255" t="str">
        <f t="shared" si="3"/>
        <v/>
      </c>
    </row>
    <row r="256" spans="6:6" x14ac:dyDescent="0.25">
      <c r="F256" t="str">
        <f t="shared" ref="F256:F319" si="4">IF(A256="","",IF(E256=1,A256*B256+12%,A256*B256))</f>
        <v/>
      </c>
    </row>
    <row r="257" spans="6:6" x14ac:dyDescent="0.25">
      <c r="F257" t="str">
        <f t="shared" si="4"/>
        <v/>
      </c>
    </row>
    <row r="258" spans="6:6" x14ac:dyDescent="0.25">
      <c r="F258" t="str">
        <f t="shared" si="4"/>
        <v/>
      </c>
    </row>
    <row r="259" spans="6:6" x14ac:dyDescent="0.25">
      <c r="F259" t="str">
        <f t="shared" si="4"/>
        <v/>
      </c>
    </row>
    <row r="260" spans="6:6" x14ac:dyDescent="0.25">
      <c r="F260" t="str">
        <f t="shared" si="4"/>
        <v/>
      </c>
    </row>
    <row r="261" spans="6:6" x14ac:dyDescent="0.25">
      <c r="F261" t="str">
        <f t="shared" si="4"/>
        <v/>
      </c>
    </row>
    <row r="262" spans="6:6" x14ac:dyDescent="0.25">
      <c r="F262" t="str">
        <f t="shared" si="4"/>
        <v/>
      </c>
    </row>
    <row r="263" spans="6:6" x14ac:dyDescent="0.25">
      <c r="F263" t="str">
        <f t="shared" si="4"/>
        <v/>
      </c>
    </row>
    <row r="264" spans="6:6" x14ac:dyDescent="0.25">
      <c r="F264" t="str">
        <f t="shared" si="4"/>
        <v/>
      </c>
    </row>
    <row r="265" spans="6:6" x14ac:dyDescent="0.25">
      <c r="F265" t="str">
        <f t="shared" si="4"/>
        <v/>
      </c>
    </row>
    <row r="266" spans="6:6" x14ac:dyDescent="0.25">
      <c r="F266" t="str">
        <f t="shared" si="4"/>
        <v/>
      </c>
    </row>
    <row r="267" spans="6:6" x14ac:dyDescent="0.25">
      <c r="F267" t="str">
        <f t="shared" si="4"/>
        <v/>
      </c>
    </row>
    <row r="268" spans="6:6" x14ac:dyDescent="0.25">
      <c r="F268" t="str">
        <f t="shared" si="4"/>
        <v/>
      </c>
    </row>
    <row r="269" spans="6:6" x14ac:dyDescent="0.25">
      <c r="F269" t="str">
        <f t="shared" si="4"/>
        <v/>
      </c>
    </row>
    <row r="270" spans="6:6" x14ac:dyDescent="0.25">
      <c r="F270" t="str">
        <f t="shared" si="4"/>
        <v/>
      </c>
    </row>
    <row r="271" spans="6:6" x14ac:dyDescent="0.25">
      <c r="F271" t="str">
        <f t="shared" si="4"/>
        <v/>
      </c>
    </row>
    <row r="272" spans="6:6" x14ac:dyDescent="0.25">
      <c r="F272" t="str">
        <f t="shared" si="4"/>
        <v/>
      </c>
    </row>
    <row r="273" spans="6:6" x14ac:dyDescent="0.25">
      <c r="F273" t="str">
        <f t="shared" si="4"/>
        <v/>
      </c>
    </row>
    <row r="274" spans="6:6" x14ac:dyDescent="0.25">
      <c r="F274" t="str">
        <f t="shared" si="4"/>
        <v/>
      </c>
    </row>
    <row r="275" spans="6:6" x14ac:dyDescent="0.25">
      <c r="F275" t="str">
        <f t="shared" si="4"/>
        <v/>
      </c>
    </row>
    <row r="276" spans="6:6" x14ac:dyDescent="0.25">
      <c r="F276" t="str">
        <f t="shared" si="4"/>
        <v/>
      </c>
    </row>
    <row r="277" spans="6:6" x14ac:dyDescent="0.25">
      <c r="F277" t="str">
        <f t="shared" si="4"/>
        <v/>
      </c>
    </row>
    <row r="278" spans="6:6" x14ac:dyDescent="0.25">
      <c r="F278" t="str">
        <f t="shared" si="4"/>
        <v/>
      </c>
    </row>
    <row r="279" spans="6:6" x14ac:dyDescent="0.25">
      <c r="F279" t="str">
        <f t="shared" si="4"/>
        <v/>
      </c>
    </row>
    <row r="280" spans="6:6" x14ac:dyDescent="0.25">
      <c r="F280" t="str">
        <f t="shared" si="4"/>
        <v/>
      </c>
    </row>
    <row r="281" spans="6:6" x14ac:dyDescent="0.25">
      <c r="F281" t="str">
        <f t="shared" si="4"/>
        <v/>
      </c>
    </row>
    <row r="282" spans="6:6" x14ac:dyDescent="0.25">
      <c r="F282" t="str">
        <f t="shared" si="4"/>
        <v/>
      </c>
    </row>
    <row r="283" spans="6:6" x14ac:dyDescent="0.25">
      <c r="F283" t="str">
        <f t="shared" si="4"/>
        <v/>
      </c>
    </row>
    <row r="284" spans="6:6" x14ac:dyDescent="0.25">
      <c r="F284" t="str">
        <f t="shared" si="4"/>
        <v/>
      </c>
    </row>
    <row r="285" spans="6:6" x14ac:dyDescent="0.25">
      <c r="F285" t="str">
        <f t="shared" si="4"/>
        <v/>
      </c>
    </row>
    <row r="286" spans="6:6" x14ac:dyDescent="0.25">
      <c r="F286" t="str">
        <f t="shared" si="4"/>
        <v/>
      </c>
    </row>
    <row r="287" spans="6:6" x14ac:dyDescent="0.25">
      <c r="F287" t="str">
        <f t="shared" si="4"/>
        <v/>
      </c>
    </row>
    <row r="288" spans="6:6" x14ac:dyDescent="0.25">
      <c r="F288" t="str">
        <f t="shared" si="4"/>
        <v/>
      </c>
    </row>
    <row r="289" spans="6:6" x14ac:dyDescent="0.25">
      <c r="F289" t="str">
        <f t="shared" si="4"/>
        <v/>
      </c>
    </row>
    <row r="290" spans="6:6" x14ac:dyDescent="0.25">
      <c r="F290" t="str">
        <f t="shared" si="4"/>
        <v/>
      </c>
    </row>
    <row r="291" spans="6:6" x14ac:dyDescent="0.25">
      <c r="F291" t="str">
        <f t="shared" si="4"/>
        <v/>
      </c>
    </row>
    <row r="292" spans="6:6" x14ac:dyDescent="0.25">
      <c r="F292" t="str">
        <f t="shared" si="4"/>
        <v/>
      </c>
    </row>
    <row r="293" spans="6:6" x14ac:dyDescent="0.25">
      <c r="F293" t="str">
        <f t="shared" si="4"/>
        <v/>
      </c>
    </row>
    <row r="294" spans="6:6" x14ac:dyDescent="0.25">
      <c r="F294" t="str">
        <f t="shared" si="4"/>
        <v/>
      </c>
    </row>
    <row r="295" spans="6:6" x14ac:dyDescent="0.25">
      <c r="F295" t="str">
        <f t="shared" si="4"/>
        <v/>
      </c>
    </row>
    <row r="296" spans="6:6" x14ac:dyDescent="0.25">
      <c r="F296" t="str">
        <f t="shared" si="4"/>
        <v/>
      </c>
    </row>
    <row r="297" spans="6:6" x14ac:dyDescent="0.25">
      <c r="F297" t="str">
        <f t="shared" si="4"/>
        <v/>
      </c>
    </row>
    <row r="298" spans="6:6" x14ac:dyDescent="0.25">
      <c r="F298" t="str">
        <f t="shared" si="4"/>
        <v/>
      </c>
    </row>
    <row r="299" spans="6:6" x14ac:dyDescent="0.25">
      <c r="F299" t="str">
        <f t="shared" si="4"/>
        <v/>
      </c>
    </row>
    <row r="300" spans="6:6" x14ac:dyDescent="0.25">
      <c r="F300" t="str">
        <f t="shared" si="4"/>
        <v/>
      </c>
    </row>
    <row r="301" spans="6:6" x14ac:dyDescent="0.25">
      <c r="F301" t="str">
        <f t="shared" si="4"/>
        <v/>
      </c>
    </row>
    <row r="302" spans="6:6" x14ac:dyDescent="0.25">
      <c r="F302" t="str">
        <f t="shared" si="4"/>
        <v/>
      </c>
    </row>
    <row r="303" spans="6:6" x14ac:dyDescent="0.25">
      <c r="F303" t="str">
        <f t="shared" si="4"/>
        <v/>
      </c>
    </row>
    <row r="304" spans="6:6" x14ac:dyDescent="0.25">
      <c r="F304" t="str">
        <f t="shared" si="4"/>
        <v/>
      </c>
    </row>
    <row r="305" spans="6:6" x14ac:dyDescent="0.25">
      <c r="F305" t="str">
        <f t="shared" si="4"/>
        <v/>
      </c>
    </row>
    <row r="306" spans="6:6" x14ac:dyDescent="0.25">
      <c r="F306" t="str">
        <f t="shared" si="4"/>
        <v/>
      </c>
    </row>
    <row r="307" spans="6:6" x14ac:dyDescent="0.25">
      <c r="F307" t="str">
        <f t="shared" si="4"/>
        <v/>
      </c>
    </row>
    <row r="308" spans="6:6" x14ac:dyDescent="0.25">
      <c r="F308" t="str">
        <f t="shared" si="4"/>
        <v/>
      </c>
    </row>
    <row r="309" spans="6:6" x14ac:dyDescent="0.25">
      <c r="F309" t="str">
        <f t="shared" si="4"/>
        <v/>
      </c>
    </row>
    <row r="310" spans="6:6" x14ac:dyDescent="0.25">
      <c r="F310" t="str">
        <f t="shared" si="4"/>
        <v/>
      </c>
    </row>
    <row r="311" spans="6:6" x14ac:dyDescent="0.25">
      <c r="F311" t="str">
        <f t="shared" si="4"/>
        <v/>
      </c>
    </row>
    <row r="312" spans="6:6" x14ac:dyDescent="0.25">
      <c r="F312" t="str">
        <f t="shared" si="4"/>
        <v/>
      </c>
    </row>
    <row r="313" spans="6:6" x14ac:dyDescent="0.25">
      <c r="F313" t="str">
        <f t="shared" si="4"/>
        <v/>
      </c>
    </row>
    <row r="314" spans="6:6" x14ac:dyDescent="0.25">
      <c r="F314" t="str">
        <f t="shared" si="4"/>
        <v/>
      </c>
    </row>
    <row r="315" spans="6:6" x14ac:dyDescent="0.25">
      <c r="F315" t="str">
        <f t="shared" si="4"/>
        <v/>
      </c>
    </row>
    <row r="316" spans="6:6" x14ac:dyDescent="0.25">
      <c r="F316" t="str">
        <f t="shared" si="4"/>
        <v/>
      </c>
    </row>
    <row r="317" spans="6:6" x14ac:dyDescent="0.25">
      <c r="F317" t="str">
        <f t="shared" si="4"/>
        <v/>
      </c>
    </row>
    <row r="318" spans="6:6" x14ac:dyDescent="0.25">
      <c r="F318" t="str">
        <f t="shared" si="4"/>
        <v/>
      </c>
    </row>
    <row r="319" spans="6:6" x14ac:dyDescent="0.25">
      <c r="F319" t="str">
        <f t="shared" si="4"/>
        <v/>
      </c>
    </row>
    <row r="320" spans="6:6" x14ac:dyDescent="0.25">
      <c r="F320" t="str">
        <f t="shared" ref="F320:F383" si="5">IF(A320="","",IF(E320=1,A320*B320+12%,A320*B320))</f>
        <v/>
      </c>
    </row>
    <row r="321" spans="6:6" x14ac:dyDescent="0.25">
      <c r="F321" t="str">
        <f t="shared" si="5"/>
        <v/>
      </c>
    </row>
    <row r="322" spans="6:6" x14ac:dyDescent="0.25">
      <c r="F322" t="str">
        <f t="shared" si="5"/>
        <v/>
      </c>
    </row>
    <row r="323" spans="6:6" x14ac:dyDescent="0.25">
      <c r="F323" t="str">
        <f t="shared" si="5"/>
        <v/>
      </c>
    </row>
    <row r="324" spans="6:6" x14ac:dyDescent="0.25">
      <c r="F324" t="str">
        <f t="shared" si="5"/>
        <v/>
      </c>
    </row>
    <row r="325" spans="6:6" x14ac:dyDescent="0.25">
      <c r="F325" t="str">
        <f t="shared" si="5"/>
        <v/>
      </c>
    </row>
    <row r="326" spans="6:6" x14ac:dyDescent="0.25">
      <c r="F326" t="str">
        <f t="shared" si="5"/>
        <v/>
      </c>
    </row>
    <row r="327" spans="6:6" x14ac:dyDescent="0.25">
      <c r="F327" t="str">
        <f t="shared" si="5"/>
        <v/>
      </c>
    </row>
    <row r="328" spans="6:6" x14ac:dyDescent="0.25">
      <c r="F328" t="str">
        <f t="shared" si="5"/>
        <v/>
      </c>
    </row>
    <row r="329" spans="6:6" x14ac:dyDescent="0.25">
      <c r="F329" t="str">
        <f t="shared" si="5"/>
        <v/>
      </c>
    </row>
    <row r="330" spans="6:6" x14ac:dyDescent="0.25">
      <c r="F330" t="str">
        <f t="shared" si="5"/>
        <v/>
      </c>
    </row>
    <row r="331" spans="6:6" x14ac:dyDescent="0.25">
      <c r="F331" t="str">
        <f t="shared" si="5"/>
        <v/>
      </c>
    </row>
    <row r="332" spans="6:6" x14ac:dyDescent="0.25">
      <c r="F332" t="str">
        <f t="shared" si="5"/>
        <v/>
      </c>
    </row>
    <row r="333" spans="6:6" x14ac:dyDescent="0.25">
      <c r="F333" t="str">
        <f t="shared" si="5"/>
        <v/>
      </c>
    </row>
    <row r="334" spans="6:6" x14ac:dyDescent="0.25">
      <c r="F334" t="str">
        <f t="shared" si="5"/>
        <v/>
      </c>
    </row>
    <row r="335" spans="6:6" x14ac:dyDescent="0.25">
      <c r="F335" t="str">
        <f t="shared" si="5"/>
        <v/>
      </c>
    </row>
    <row r="336" spans="6:6" x14ac:dyDescent="0.25">
      <c r="F336" t="str">
        <f t="shared" si="5"/>
        <v/>
      </c>
    </row>
    <row r="337" spans="6:6" x14ac:dyDescent="0.25">
      <c r="F337" t="str">
        <f t="shared" si="5"/>
        <v/>
      </c>
    </row>
    <row r="338" spans="6:6" x14ac:dyDescent="0.25">
      <c r="F338" t="str">
        <f t="shared" si="5"/>
        <v/>
      </c>
    </row>
    <row r="339" spans="6:6" x14ac:dyDescent="0.25">
      <c r="F339" t="str">
        <f t="shared" si="5"/>
        <v/>
      </c>
    </row>
    <row r="340" spans="6:6" x14ac:dyDescent="0.25">
      <c r="F340" t="str">
        <f t="shared" si="5"/>
        <v/>
      </c>
    </row>
    <row r="341" spans="6:6" x14ac:dyDescent="0.25">
      <c r="F341" t="str">
        <f t="shared" si="5"/>
        <v/>
      </c>
    </row>
    <row r="342" spans="6:6" x14ac:dyDescent="0.25">
      <c r="F342" t="str">
        <f t="shared" si="5"/>
        <v/>
      </c>
    </row>
    <row r="343" spans="6:6" x14ac:dyDescent="0.25">
      <c r="F343" t="str">
        <f t="shared" si="5"/>
        <v/>
      </c>
    </row>
    <row r="344" spans="6:6" x14ac:dyDescent="0.25">
      <c r="F344" t="str">
        <f t="shared" si="5"/>
        <v/>
      </c>
    </row>
    <row r="345" spans="6:6" x14ac:dyDescent="0.25">
      <c r="F345" t="str">
        <f t="shared" si="5"/>
        <v/>
      </c>
    </row>
    <row r="346" spans="6:6" x14ac:dyDescent="0.25">
      <c r="F346" t="str">
        <f t="shared" si="5"/>
        <v/>
      </c>
    </row>
    <row r="347" spans="6:6" x14ac:dyDescent="0.25">
      <c r="F347" t="str">
        <f t="shared" si="5"/>
        <v/>
      </c>
    </row>
    <row r="348" spans="6:6" x14ac:dyDescent="0.25">
      <c r="F348" t="str">
        <f t="shared" si="5"/>
        <v/>
      </c>
    </row>
    <row r="349" spans="6:6" x14ac:dyDescent="0.25">
      <c r="F349" t="str">
        <f t="shared" si="5"/>
        <v/>
      </c>
    </row>
    <row r="350" spans="6:6" x14ac:dyDescent="0.25">
      <c r="F350" t="str">
        <f t="shared" si="5"/>
        <v/>
      </c>
    </row>
    <row r="351" spans="6:6" x14ac:dyDescent="0.25">
      <c r="F351" t="str">
        <f t="shared" si="5"/>
        <v/>
      </c>
    </row>
    <row r="352" spans="6:6" x14ac:dyDescent="0.25">
      <c r="F352" t="str">
        <f t="shared" si="5"/>
        <v/>
      </c>
    </row>
    <row r="353" spans="6:6" x14ac:dyDescent="0.25">
      <c r="F353" t="str">
        <f t="shared" si="5"/>
        <v/>
      </c>
    </row>
    <row r="354" spans="6:6" x14ac:dyDescent="0.25">
      <c r="F354" t="str">
        <f t="shared" si="5"/>
        <v/>
      </c>
    </row>
    <row r="355" spans="6:6" x14ac:dyDescent="0.25">
      <c r="F355" t="str">
        <f t="shared" si="5"/>
        <v/>
      </c>
    </row>
    <row r="356" spans="6:6" x14ac:dyDescent="0.25">
      <c r="F356" t="str">
        <f t="shared" si="5"/>
        <v/>
      </c>
    </row>
    <row r="357" spans="6:6" x14ac:dyDescent="0.25">
      <c r="F357" t="str">
        <f t="shared" si="5"/>
        <v/>
      </c>
    </row>
    <row r="358" spans="6:6" x14ac:dyDescent="0.25">
      <c r="F358" t="str">
        <f t="shared" si="5"/>
        <v/>
      </c>
    </row>
    <row r="359" spans="6:6" x14ac:dyDescent="0.25">
      <c r="F359" t="str">
        <f t="shared" si="5"/>
        <v/>
      </c>
    </row>
    <row r="360" spans="6:6" x14ac:dyDescent="0.25">
      <c r="F360" t="str">
        <f t="shared" si="5"/>
        <v/>
      </c>
    </row>
    <row r="361" spans="6:6" x14ac:dyDescent="0.25">
      <c r="F361" t="str">
        <f t="shared" si="5"/>
        <v/>
      </c>
    </row>
    <row r="362" spans="6:6" x14ac:dyDescent="0.25">
      <c r="F362" t="str">
        <f t="shared" si="5"/>
        <v/>
      </c>
    </row>
    <row r="363" spans="6:6" x14ac:dyDescent="0.25">
      <c r="F363" t="str">
        <f t="shared" si="5"/>
        <v/>
      </c>
    </row>
    <row r="364" spans="6:6" x14ac:dyDescent="0.25">
      <c r="F364" t="str">
        <f t="shared" si="5"/>
        <v/>
      </c>
    </row>
    <row r="365" spans="6:6" x14ac:dyDescent="0.25">
      <c r="F365" t="str">
        <f t="shared" si="5"/>
        <v/>
      </c>
    </row>
    <row r="366" spans="6:6" x14ac:dyDescent="0.25">
      <c r="F366" t="str">
        <f t="shared" si="5"/>
        <v/>
      </c>
    </row>
    <row r="367" spans="6:6" x14ac:dyDescent="0.25">
      <c r="F367" t="str">
        <f t="shared" si="5"/>
        <v/>
      </c>
    </row>
    <row r="368" spans="6:6" x14ac:dyDescent="0.25">
      <c r="F368" t="str">
        <f t="shared" si="5"/>
        <v/>
      </c>
    </row>
    <row r="369" spans="6:6" x14ac:dyDescent="0.25">
      <c r="F369" t="str">
        <f t="shared" si="5"/>
        <v/>
      </c>
    </row>
    <row r="370" spans="6:6" x14ac:dyDescent="0.25">
      <c r="F370" t="str">
        <f t="shared" si="5"/>
        <v/>
      </c>
    </row>
    <row r="371" spans="6:6" x14ac:dyDescent="0.25">
      <c r="F371" t="str">
        <f t="shared" si="5"/>
        <v/>
      </c>
    </row>
    <row r="372" spans="6:6" x14ac:dyDescent="0.25">
      <c r="F372" t="str">
        <f t="shared" si="5"/>
        <v/>
      </c>
    </row>
    <row r="373" spans="6:6" x14ac:dyDescent="0.25">
      <c r="F373" t="str">
        <f t="shared" si="5"/>
        <v/>
      </c>
    </row>
    <row r="374" spans="6:6" x14ac:dyDescent="0.25">
      <c r="F374" t="str">
        <f t="shared" si="5"/>
        <v/>
      </c>
    </row>
    <row r="375" spans="6:6" x14ac:dyDescent="0.25">
      <c r="F375" t="str">
        <f t="shared" si="5"/>
        <v/>
      </c>
    </row>
    <row r="376" spans="6:6" x14ac:dyDescent="0.25">
      <c r="F376" t="str">
        <f t="shared" si="5"/>
        <v/>
      </c>
    </row>
    <row r="377" spans="6:6" x14ac:dyDescent="0.25">
      <c r="F377" t="str">
        <f t="shared" si="5"/>
        <v/>
      </c>
    </row>
    <row r="378" spans="6:6" x14ac:dyDescent="0.25">
      <c r="F378" t="str">
        <f t="shared" si="5"/>
        <v/>
      </c>
    </row>
    <row r="379" spans="6:6" x14ac:dyDescent="0.25">
      <c r="F379" t="str">
        <f t="shared" si="5"/>
        <v/>
      </c>
    </row>
    <row r="380" spans="6:6" x14ac:dyDescent="0.25">
      <c r="F380" t="str">
        <f t="shared" si="5"/>
        <v/>
      </c>
    </row>
    <row r="381" spans="6:6" x14ac:dyDescent="0.25">
      <c r="F381" t="str">
        <f t="shared" si="5"/>
        <v/>
      </c>
    </row>
    <row r="382" spans="6:6" x14ac:dyDescent="0.25">
      <c r="F382" t="str">
        <f t="shared" si="5"/>
        <v/>
      </c>
    </row>
    <row r="383" spans="6:6" x14ac:dyDescent="0.25">
      <c r="F383" t="str">
        <f t="shared" si="5"/>
        <v/>
      </c>
    </row>
    <row r="384" spans="6:6" x14ac:dyDescent="0.25">
      <c r="F384" t="str">
        <f t="shared" ref="F384:F447" si="6">IF(A384="","",IF(E384=1,A384*B384+12%,A384*B384))</f>
        <v/>
      </c>
    </row>
    <row r="385" spans="6:6" x14ac:dyDescent="0.25">
      <c r="F385" t="str">
        <f t="shared" si="6"/>
        <v/>
      </c>
    </row>
    <row r="386" spans="6:6" x14ac:dyDescent="0.25">
      <c r="F386" t="str">
        <f t="shared" si="6"/>
        <v/>
      </c>
    </row>
    <row r="387" spans="6:6" x14ac:dyDescent="0.25">
      <c r="F387" t="str">
        <f t="shared" si="6"/>
        <v/>
      </c>
    </row>
    <row r="388" spans="6:6" x14ac:dyDescent="0.25">
      <c r="F388" t="str">
        <f t="shared" si="6"/>
        <v/>
      </c>
    </row>
    <row r="389" spans="6:6" x14ac:dyDescent="0.25">
      <c r="F389" t="str">
        <f t="shared" si="6"/>
        <v/>
      </c>
    </row>
    <row r="390" spans="6:6" x14ac:dyDescent="0.25">
      <c r="F390" t="str">
        <f t="shared" si="6"/>
        <v/>
      </c>
    </row>
    <row r="391" spans="6:6" x14ac:dyDescent="0.25">
      <c r="F391" t="str">
        <f t="shared" si="6"/>
        <v/>
      </c>
    </row>
    <row r="392" spans="6:6" x14ac:dyDescent="0.25">
      <c r="F392" t="str">
        <f t="shared" si="6"/>
        <v/>
      </c>
    </row>
    <row r="393" spans="6:6" x14ac:dyDescent="0.25">
      <c r="F393" t="str">
        <f t="shared" si="6"/>
        <v/>
      </c>
    </row>
    <row r="394" spans="6:6" x14ac:dyDescent="0.25">
      <c r="F394" t="str">
        <f t="shared" si="6"/>
        <v/>
      </c>
    </row>
    <row r="395" spans="6:6" x14ac:dyDescent="0.25">
      <c r="F395" t="str">
        <f t="shared" si="6"/>
        <v/>
      </c>
    </row>
    <row r="396" spans="6:6" x14ac:dyDescent="0.25">
      <c r="F396" t="str">
        <f t="shared" si="6"/>
        <v/>
      </c>
    </row>
    <row r="397" spans="6:6" x14ac:dyDescent="0.25">
      <c r="F397" t="str">
        <f t="shared" si="6"/>
        <v/>
      </c>
    </row>
    <row r="398" spans="6:6" x14ac:dyDescent="0.25">
      <c r="F398" t="str">
        <f t="shared" si="6"/>
        <v/>
      </c>
    </row>
    <row r="399" spans="6:6" x14ac:dyDescent="0.25">
      <c r="F399" t="str">
        <f t="shared" si="6"/>
        <v/>
      </c>
    </row>
    <row r="400" spans="6:6" x14ac:dyDescent="0.25">
      <c r="F400" t="str">
        <f t="shared" si="6"/>
        <v/>
      </c>
    </row>
    <row r="401" spans="6:6" x14ac:dyDescent="0.25">
      <c r="F401" t="str">
        <f t="shared" si="6"/>
        <v/>
      </c>
    </row>
    <row r="402" spans="6:6" x14ac:dyDescent="0.25">
      <c r="F402" t="str">
        <f t="shared" si="6"/>
        <v/>
      </c>
    </row>
    <row r="403" spans="6:6" x14ac:dyDescent="0.25">
      <c r="F403" t="str">
        <f t="shared" si="6"/>
        <v/>
      </c>
    </row>
    <row r="404" spans="6:6" x14ac:dyDescent="0.25">
      <c r="F404" t="str">
        <f t="shared" si="6"/>
        <v/>
      </c>
    </row>
    <row r="405" spans="6:6" x14ac:dyDescent="0.25">
      <c r="F405" t="str">
        <f t="shared" si="6"/>
        <v/>
      </c>
    </row>
    <row r="406" spans="6:6" x14ac:dyDescent="0.25">
      <c r="F406" t="str">
        <f t="shared" si="6"/>
        <v/>
      </c>
    </row>
    <row r="407" spans="6:6" x14ac:dyDescent="0.25">
      <c r="F407" t="str">
        <f t="shared" si="6"/>
        <v/>
      </c>
    </row>
    <row r="408" spans="6:6" x14ac:dyDescent="0.25">
      <c r="F408" t="str">
        <f t="shared" si="6"/>
        <v/>
      </c>
    </row>
    <row r="409" spans="6:6" x14ac:dyDescent="0.25">
      <c r="F409" t="str">
        <f t="shared" si="6"/>
        <v/>
      </c>
    </row>
    <row r="410" spans="6:6" x14ac:dyDescent="0.25">
      <c r="F410" t="str">
        <f t="shared" si="6"/>
        <v/>
      </c>
    </row>
    <row r="411" spans="6:6" x14ac:dyDescent="0.25">
      <c r="F411" t="str">
        <f t="shared" si="6"/>
        <v/>
      </c>
    </row>
    <row r="412" spans="6:6" x14ac:dyDescent="0.25">
      <c r="F412" t="str">
        <f t="shared" si="6"/>
        <v/>
      </c>
    </row>
    <row r="413" spans="6:6" x14ac:dyDescent="0.25">
      <c r="F413" t="str">
        <f t="shared" si="6"/>
        <v/>
      </c>
    </row>
    <row r="414" spans="6:6" x14ac:dyDescent="0.25">
      <c r="F414" t="str">
        <f t="shared" si="6"/>
        <v/>
      </c>
    </row>
    <row r="415" spans="6:6" x14ac:dyDescent="0.25">
      <c r="F415" t="str">
        <f t="shared" si="6"/>
        <v/>
      </c>
    </row>
    <row r="416" spans="6:6" x14ac:dyDescent="0.25">
      <c r="F416" t="str">
        <f t="shared" si="6"/>
        <v/>
      </c>
    </row>
    <row r="417" spans="6:6" x14ac:dyDescent="0.25">
      <c r="F417" t="str">
        <f t="shared" si="6"/>
        <v/>
      </c>
    </row>
    <row r="418" spans="6:6" x14ac:dyDescent="0.25">
      <c r="F418" t="str">
        <f t="shared" si="6"/>
        <v/>
      </c>
    </row>
    <row r="419" spans="6:6" x14ac:dyDescent="0.25">
      <c r="F419" t="str">
        <f t="shared" si="6"/>
        <v/>
      </c>
    </row>
    <row r="420" spans="6:6" x14ac:dyDescent="0.25">
      <c r="F420" t="str">
        <f t="shared" si="6"/>
        <v/>
      </c>
    </row>
    <row r="421" spans="6:6" x14ac:dyDescent="0.25">
      <c r="F421" t="str">
        <f t="shared" si="6"/>
        <v/>
      </c>
    </row>
    <row r="422" spans="6:6" x14ac:dyDescent="0.25">
      <c r="F422" t="str">
        <f t="shared" si="6"/>
        <v/>
      </c>
    </row>
    <row r="423" spans="6:6" x14ac:dyDescent="0.25">
      <c r="F423" t="str">
        <f t="shared" si="6"/>
        <v/>
      </c>
    </row>
    <row r="424" spans="6:6" x14ac:dyDescent="0.25">
      <c r="F424" t="str">
        <f t="shared" si="6"/>
        <v/>
      </c>
    </row>
    <row r="425" spans="6:6" x14ac:dyDescent="0.25">
      <c r="F425" t="str">
        <f t="shared" si="6"/>
        <v/>
      </c>
    </row>
    <row r="426" spans="6:6" x14ac:dyDescent="0.25">
      <c r="F426" t="str">
        <f t="shared" si="6"/>
        <v/>
      </c>
    </row>
    <row r="427" spans="6:6" x14ac:dyDescent="0.25">
      <c r="F427" t="str">
        <f t="shared" si="6"/>
        <v/>
      </c>
    </row>
    <row r="428" spans="6:6" x14ac:dyDescent="0.25">
      <c r="F428" t="str">
        <f t="shared" si="6"/>
        <v/>
      </c>
    </row>
    <row r="429" spans="6:6" x14ac:dyDescent="0.25">
      <c r="F429" t="str">
        <f t="shared" si="6"/>
        <v/>
      </c>
    </row>
    <row r="430" spans="6:6" x14ac:dyDescent="0.25">
      <c r="F430" t="str">
        <f t="shared" si="6"/>
        <v/>
      </c>
    </row>
    <row r="431" spans="6:6" x14ac:dyDescent="0.25">
      <c r="F431" t="str">
        <f t="shared" si="6"/>
        <v/>
      </c>
    </row>
    <row r="432" spans="6:6" x14ac:dyDescent="0.25">
      <c r="F432" t="str">
        <f t="shared" si="6"/>
        <v/>
      </c>
    </row>
    <row r="433" spans="6:6" x14ac:dyDescent="0.25">
      <c r="F433" t="str">
        <f t="shared" si="6"/>
        <v/>
      </c>
    </row>
    <row r="434" spans="6:6" x14ac:dyDescent="0.25">
      <c r="F434" t="str">
        <f t="shared" si="6"/>
        <v/>
      </c>
    </row>
    <row r="435" spans="6:6" x14ac:dyDescent="0.25">
      <c r="F435" t="str">
        <f t="shared" si="6"/>
        <v/>
      </c>
    </row>
    <row r="436" spans="6:6" x14ac:dyDescent="0.25">
      <c r="F436" t="str">
        <f t="shared" si="6"/>
        <v/>
      </c>
    </row>
    <row r="437" spans="6:6" x14ac:dyDescent="0.25">
      <c r="F437" t="str">
        <f t="shared" si="6"/>
        <v/>
      </c>
    </row>
    <row r="438" spans="6:6" x14ac:dyDescent="0.25">
      <c r="F438" t="str">
        <f t="shared" si="6"/>
        <v/>
      </c>
    </row>
    <row r="439" spans="6:6" x14ac:dyDescent="0.25">
      <c r="F439" t="str">
        <f t="shared" si="6"/>
        <v/>
      </c>
    </row>
    <row r="440" spans="6:6" x14ac:dyDescent="0.25">
      <c r="F440" t="str">
        <f t="shared" si="6"/>
        <v/>
      </c>
    </row>
    <row r="441" spans="6:6" x14ac:dyDescent="0.25">
      <c r="F441" t="str">
        <f t="shared" si="6"/>
        <v/>
      </c>
    </row>
    <row r="442" spans="6:6" x14ac:dyDescent="0.25">
      <c r="F442" t="str">
        <f t="shared" si="6"/>
        <v/>
      </c>
    </row>
    <row r="443" spans="6:6" x14ac:dyDescent="0.25">
      <c r="F443" t="str">
        <f t="shared" si="6"/>
        <v/>
      </c>
    </row>
    <row r="444" spans="6:6" x14ac:dyDescent="0.25">
      <c r="F444" t="str">
        <f t="shared" si="6"/>
        <v/>
      </c>
    </row>
    <row r="445" spans="6:6" x14ac:dyDescent="0.25">
      <c r="F445" t="str">
        <f t="shared" si="6"/>
        <v/>
      </c>
    </row>
    <row r="446" spans="6:6" x14ac:dyDescent="0.25">
      <c r="F446" t="str">
        <f t="shared" si="6"/>
        <v/>
      </c>
    </row>
    <row r="447" spans="6:6" x14ac:dyDescent="0.25">
      <c r="F447" t="str">
        <f t="shared" si="6"/>
        <v/>
      </c>
    </row>
    <row r="448" spans="6:6" x14ac:dyDescent="0.25">
      <c r="F448" t="str">
        <f t="shared" ref="F448:F511" si="7">IF(A448="","",IF(E448=1,A448*B448+12%,A448*B448))</f>
        <v/>
      </c>
    </row>
    <row r="449" spans="6:6" x14ac:dyDescent="0.25">
      <c r="F449" t="str">
        <f t="shared" si="7"/>
        <v/>
      </c>
    </row>
    <row r="450" spans="6:6" x14ac:dyDescent="0.25">
      <c r="F450" t="str">
        <f t="shared" si="7"/>
        <v/>
      </c>
    </row>
    <row r="451" spans="6:6" x14ac:dyDescent="0.25">
      <c r="F451" t="str">
        <f t="shared" si="7"/>
        <v/>
      </c>
    </row>
    <row r="452" spans="6:6" x14ac:dyDescent="0.25">
      <c r="F452" t="str">
        <f t="shared" si="7"/>
        <v/>
      </c>
    </row>
    <row r="453" spans="6:6" x14ac:dyDescent="0.25">
      <c r="F453" t="str">
        <f t="shared" si="7"/>
        <v/>
      </c>
    </row>
    <row r="454" spans="6:6" x14ac:dyDescent="0.25">
      <c r="F454" t="str">
        <f t="shared" si="7"/>
        <v/>
      </c>
    </row>
    <row r="455" spans="6:6" x14ac:dyDescent="0.25">
      <c r="F455" t="str">
        <f t="shared" si="7"/>
        <v/>
      </c>
    </row>
    <row r="456" spans="6:6" x14ac:dyDescent="0.25">
      <c r="F456" t="str">
        <f t="shared" si="7"/>
        <v/>
      </c>
    </row>
    <row r="457" spans="6:6" x14ac:dyDescent="0.25">
      <c r="F457" t="str">
        <f t="shared" si="7"/>
        <v/>
      </c>
    </row>
    <row r="458" spans="6:6" x14ac:dyDescent="0.25">
      <c r="F458" t="str">
        <f t="shared" si="7"/>
        <v/>
      </c>
    </row>
    <row r="459" spans="6:6" x14ac:dyDescent="0.25">
      <c r="F459" t="str">
        <f t="shared" si="7"/>
        <v/>
      </c>
    </row>
    <row r="460" spans="6:6" x14ac:dyDescent="0.25">
      <c r="F460" t="str">
        <f t="shared" si="7"/>
        <v/>
      </c>
    </row>
    <row r="461" spans="6:6" x14ac:dyDescent="0.25">
      <c r="F461" t="str">
        <f t="shared" si="7"/>
        <v/>
      </c>
    </row>
    <row r="462" spans="6:6" x14ac:dyDescent="0.25">
      <c r="F462" t="str">
        <f t="shared" si="7"/>
        <v/>
      </c>
    </row>
    <row r="463" spans="6:6" x14ac:dyDescent="0.25">
      <c r="F463" t="str">
        <f t="shared" si="7"/>
        <v/>
      </c>
    </row>
    <row r="464" spans="6:6" x14ac:dyDescent="0.25">
      <c r="F464" t="str">
        <f t="shared" si="7"/>
        <v/>
      </c>
    </row>
    <row r="465" spans="6:6" x14ac:dyDescent="0.25">
      <c r="F465" t="str">
        <f t="shared" si="7"/>
        <v/>
      </c>
    </row>
    <row r="466" spans="6:6" x14ac:dyDescent="0.25">
      <c r="F466" t="str">
        <f t="shared" si="7"/>
        <v/>
      </c>
    </row>
    <row r="467" spans="6:6" x14ac:dyDescent="0.25">
      <c r="F467" t="str">
        <f t="shared" si="7"/>
        <v/>
      </c>
    </row>
    <row r="468" spans="6:6" x14ac:dyDescent="0.25">
      <c r="F468" t="str">
        <f t="shared" si="7"/>
        <v/>
      </c>
    </row>
    <row r="469" spans="6:6" x14ac:dyDescent="0.25">
      <c r="F469" t="str">
        <f t="shared" si="7"/>
        <v/>
      </c>
    </row>
    <row r="470" spans="6:6" x14ac:dyDescent="0.25">
      <c r="F470" t="str">
        <f t="shared" si="7"/>
        <v/>
      </c>
    </row>
    <row r="471" spans="6:6" x14ac:dyDescent="0.25">
      <c r="F471" t="str">
        <f t="shared" si="7"/>
        <v/>
      </c>
    </row>
    <row r="472" spans="6:6" x14ac:dyDescent="0.25">
      <c r="F472" t="str">
        <f t="shared" si="7"/>
        <v/>
      </c>
    </row>
    <row r="473" spans="6:6" x14ac:dyDescent="0.25">
      <c r="F473" t="str">
        <f t="shared" si="7"/>
        <v/>
      </c>
    </row>
    <row r="474" spans="6:6" x14ac:dyDescent="0.25">
      <c r="F474" t="str">
        <f t="shared" si="7"/>
        <v/>
      </c>
    </row>
    <row r="475" spans="6:6" x14ac:dyDescent="0.25">
      <c r="F475" t="str">
        <f t="shared" si="7"/>
        <v/>
      </c>
    </row>
    <row r="476" spans="6:6" x14ac:dyDescent="0.25">
      <c r="F476" t="str">
        <f t="shared" si="7"/>
        <v/>
      </c>
    </row>
    <row r="477" spans="6:6" x14ac:dyDescent="0.25">
      <c r="F477" t="str">
        <f t="shared" si="7"/>
        <v/>
      </c>
    </row>
    <row r="478" spans="6:6" x14ac:dyDescent="0.25">
      <c r="F478" t="str">
        <f t="shared" si="7"/>
        <v/>
      </c>
    </row>
    <row r="479" spans="6:6" x14ac:dyDescent="0.25">
      <c r="F479" t="str">
        <f t="shared" si="7"/>
        <v/>
      </c>
    </row>
    <row r="480" spans="6:6" x14ac:dyDescent="0.25">
      <c r="F480" t="str">
        <f t="shared" si="7"/>
        <v/>
      </c>
    </row>
    <row r="481" spans="6:6" x14ac:dyDescent="0.25">
      <c r="F481" t="str">
        <f t="shared" si="7"/>
        <v/>
      </c>
    </row>
    <row r="482" spans="6:6" x14ac:dyDescent="0.25">
      <c r="F482" t="str">
        <f t="shared" si="7"/>
        <v/>
      </c>
    </row>
    <row r="483" spans="6:6" x14ac:dyDescent="0.25">
      <c r="F483" t="str">
        <f t="shared" si="7"/>
        <v/>
      </c>
    </row>
    <row r="484" spans="6:6" x14ac:dyDescent="0.25">
      <c r="F484" t="str">
        <f t="shared" si="7"/>
        <v/>
      </c>
    </row>
    <row r="485" spans="6:6" x14ac:dyDescent="0.25">
      <c r="F485" t="str">
        <f t="shared" si="7"/>
        <v/>
      </c>
    </row>
    <row r="486" spans="6:6" x14ac:dyDescent="0.25">
      <c r="F486" t="str">
        <f t="shared" si="7"/>
        <v/>
      </c>
    </row>
    <row r="487" spans="6:6" x14ac:dyDescent="0.25">
      <c r="F487" t="str">
        <f t="shared" si="7"/>
        <v/>
      </c>
    </row>
    <row r="488" spans="6:6" x14ac:dyDescent="0.25">
      <c r="F488" t="str">
        <f t="shared" si="7"/>
        <v/>
      </c>
    </row>
    <row r="489" spans="6:6" x14ac:dyDescent="0.25">
      <c r="F489" t="str">
        <f t="shared" si="7"/>
        <v/>
      </c>
    </row>
    <row r="490" spans="6:6" x14ac:dyDescent="0.25">
      <c r="F490" t="str">
        <f t="shared" si="7"/>
        <v/>
      </c>
    </row>
    <row r="491" spans="6:6" x14ac:dyDescent="0.25">
      <c r="F491" t="str">
        <f t="shared" si="7"/>
        <v/>
      </c>
    </row>
    <row r="492" spans="6:6" x14ac:dyDescent="0.25">
      <c r="F492" t="str">
        <f t="shared" si="7"/>
        <v/>
      </c>
    </row>
    <row r="493" spans="6:6" x14ac:dyDescent="0.25">
      <c r="F493" t="str">
        <f t="shared" si="7"/>
        <v/>
      </c>
    </row>
    <row r="494" spans="6:6" x14ac:dyDescent="0.25">
      <c r="F494" t="str">
        <f t="shared" si="7"/>
        <v/>
      </c>
    </row>
    <row r="495" spans="6:6" x14ac:dyDescent="0.25">
      <c r="F495" t="str">
        <f t="shared" si="7"/>
        <v/>
      </c>
    </row>
    <row r="496" spans="6:6" x14ac:dyDescent="0.25">
      <c r="F496" t="str">
        <f t="shared" si="7"/>
        <v/>
      </c>
    </row>
    <row r="497" spans="6:6" x14ac:dyDescent="0.25">
      <c r="F497" t="str">
        <f t="shared" si="7"/>
        <v/>
      </c>
    </row>
    <row r="498" spans="6:6" x14ac:dyDescent="0.25">
      <c r="F498" t="str">
        <f t="shared" si="7"/>
        <v/>
      </c>
    </row>
    <row r="499" spans="6:6" x14ac:dyDescent="0.25">
      <c r="F499" t="str">
        <f t="shared" si="7"/>
        <v/>
      </c>
    </row>
    <row r="500" spans="6:6" x14ac:dyDescent="0.25">
      <c r="F500" t="str">
        <f t="shared" si="7"/>
        <v/>
      </c>
    </row>
    <row r="501" spans="6:6" x14ac:dyDescent="0.25">
      <c r="F501" t="str">
        <f t="shared" si="7"/>
        <v/>
      </c>
    </row>
    <row r="502" spans="6:6" x14ac:dyDescent="0.25">
      <c r="F502" t="str">
        <f t="shared" si="7"/>
        <v/>
      </c>
    </row>
    <row r="503" spans="6:6" x14ac:dyDescent="0.25">
      <c r="F503" t="str">
        <f t="shared" si="7"/>
        <v/>
      </c>
    </row>
    <row r="504" spans="6:6" x14ac:dyDescent="0.25">
      <c r="F504" t="str">
        <f t="shared" si="7"/>
        <v/>
      </c>
    </row>
    <row r="505" spans="6:6" x14ac:dyDescent="0.25">
      <c r="F505" t="str">
        <f t="shared" si="7"/>
        <v/>
      </c>
    </row>
    <row r="506" spans="6:6" x14ac:dyDescent="0.25">
      <c r="F506" t="str">
        <f t="shared" si="7"/>
        <v/>
      </c>
    </row>
    <row r="507" spans="6:6" x14ac:dyDescent="0.25">
      <c r="F507" t="str">
        <f t="shared" si="7"/>
        <v/>
      </c>
    </row>
    <row r="508" spans="6:6" x14ac:dyDescent="0.25">
      <c r="F508" t="str">
        <f t="shared" si="7"/>
        <v/>
      </c>
    </row>
    <row r="509" spans="6:6" x14ac:dyDescent="0.25">
      <c r="F509" t="str">
        <f t="shared" si="7"/>
        <v/>
      </c>
    </row>
    <row r="510" spans="6:6" x14ac:dyDescent="0.25">
      <c r="F510" t="str">
        <f t="shared" si="7"/>
        <v/>
      </c>
    </row>
    <row r="511" spans="6:6" x14ac:dyDescent="0.25">
      <c r="F511" t="str">
        <f t="shared" si="7"/>
        <v/>
      </c>
    </row>
    <row r="512" spans="6:6" x14ac:dyDescent="0.25">
      <c r="F512" t="str">
        <f t="shared" ref="F512:F575" si="8">IF(A512="","",IF(E512=1,A512*B512+12%,A512*B512))</f>
        <v/>
      </c>
    </row>
    <row r="513" spans="6:6" x14ac:dyDescent="0.25">
      <c r="F513" t="str">
        <f t="shared" si="8"/>
        <v/>
      </c>
    </row>
    <row r="514" spans="6:6" x14ac:dyDescent="0.25">
      <c r="F514" t="str">
        <f t="shared" si="8"/>
        <v/>
      </c>
    </row>
    <row r="515" spans="6:6" x14ac:dyDescent="0.25">
      <c r="F515" t="str">
        <f t="shared" si="8"/>
        <v/>
      </c>
    </row>
    <row r="516" spans="6:6" x14ac:dyDescent="0.25">
      <c r="F516" t="str">
        <f t="shared" si="8"/>
        <v/>
      </c>
    </row>
    <row r="517" spans="6:6" x14ac:dyDescent="0.25">
      <c r="F517" t="str">
        <f t="shared" si="8"/>
        <v/>
      </c>
    </row>
    <row r="518" spans="6:6" x14ac:dyDescent="0.25">
      <c r="F518" t="str">
        <f t="shared" si="8"/>
        <v/>
      </c>
    </row>
    <row r="519" spans="6:6" x14ac:dyDescent="0.25">
      <c r="F519" t="str">
        <f t="shared" si="8"/>
        <v/>
      </c>
    </row>
    <row r="520" spans="6:6" x14ac:dyDescent="0.25">
      <c r="F520" t="str">
        <f t="shared" si="8"/>
        <v/>
      </c>
    </row>
    <row r="521" spans="6:6" x14ac:dyDescent="0.25">
      <c r="F521" t="str">
        <f t="shared" si="8"/>
        <v/>
      </c>
    </row>
    <row r="522" spans="6:6" x14ac:dyDescent="0.25">
      <c r="F522" t="str">
        <f t="shared" si="8"/>
        <v/>
      </c>
    </row>
    <row r="523" spans="6:6" x14ac:dyDescent="0.25">
      <c r="F523" t="str">
        <f t="shared" si="8"/>
        <v/>
      </c>
    </row>
    <row r="524" spans="6:6" x14ac:dyDescent="0.25">
      <c r="F524" t="str">
        <f t="shared" si="8"/>
        <v/>
      </c>
    </row>
    <row r="525" spans="6:6" x14ac:dyDescent="0.25">
      <c r="F525" t="str">
        <f t="shared" si="8"/>
        <v/>
      </c>
    </row>
    <row r="526" spans="6:6" x14ac:dyDescent="0.25">
      <c r="F526" t="str">
        <f t="shared" si="8"/>
        <v/>
      </c>
    </row>
    <row r="527" spans="6:6" x14ac:dyDescent="0.25">
      <c r="F527" t="str">
        <f t="shared" si="8"/>
        <v/>
      </c>
    </row>
    <row r="528" spans="6:6" x14ac:dyDescent="0.25">
      <c r="F528" t="str">
        <f t="shared" si="8"/>
        <v/>
      </c>
    </row>
    <row r="529" spans="6:6" x14ac:dyDescent="0.25">
      <c r="F529" t="str">
        <f t="shared" si="8"/>
        <v/>
      </c>
    </row>
    <row r="530" spans="6:6" x14ac:dyDescent="0.25">
      <c r="F530" t="str">
        <f t="shared" si="8"/>
        <v/>
      </c>
    </row>
    <row r="531" spans="6:6" x14ac:dyDescent="0.25">
      <c r="F531" t="str">
        <f t="shared" si="8"/>
        <v/>
      </c>
    </row>
    <row r="532" spans="6:6" x14ac:dyDescent="0.25">
      <c r="F532" t="str">
        <f t="shared" si="8"/>
        <v/>
      </c>
    </row>
    <row r="533" spans="6:6" x14ac:dyDescent="0.25">
      <c r="F533" t="str">
        <f t="shared" si="8"/>
        <v/>
      </c>
    </row>
    <row r="534" spans="6:6" x14ac:dyDescent="0.25">
      <c r="F534" t="str">
        <f t="shared" si="8"/>
        <v/>
      </c>
    </row>
    <row r="535" spans="6:6" x14ac:dyDescent="0.25">
      <c r="F535" t="str">
        <f t="shared" si="8"/>
        <v/>
      </c>
    </row>
    <row r="536" spans="6:6" x14ac:dyDescent="0.25">
      <c r="F536" t="str">
        <f t="shared" si="8"/>
        <v/>
      </c>
    </row>
    <row r="537" spans="6:6" x14ac:dyDescent="0.25">
      <c r="F537" t="str">
        <f t="shared" si="8"/>
        <v/>
      </c>
    </row>
    <row r="538" spans="6:6" x14ac:dyDescent="0.25">
      <c r="F538" t="str">
        <f t="shared" si="8"/>
        <v/>
      </c>
    </row>
    <row r="539" spans="6:6" x14ac:dyDescent="0.25">
      <c r="F539" t="str">
        <f t="shared" si="8"/>
        <v/>
      </c>
    </row>
    <row r="540" spans="6:6" x14ac:dyDescent="0.25">
      <c r="F540" t="str">
        <f t="shared" si="8"/>
        <v/>
      </c>
    </row>
    <row r="541" spans="6:6" x14ac:dyDescent="0.25">
      <c r="F541" t="str">
        <f t="shared" si="8"/>
        <v/>
      </c>
    </row>
    <row r="542" spans="6:6" x14ac:dyDescent="0.25">
      <c r="F542" t="str">
        <f t="shared" si="8"/>
        <v/>
      </c>
    </row>
    <row r="543" spans="6:6" x14ac:dyDescent="0.25">
      <c r="F543" t="str">
        <f t="shared" si="8"/>
        <v/>
      </c>
    </row>
    <row r="544" spans="6:6" x14ac:dyDescent="0.25">
      <c r="F544" t="str">
        <f t="shared" si="8"/>
        <v/>
      </c>
    </row>
    <row r="545" spans="6:6" x14ac:dyDescent="0.25">
      <c r="F545" t="str">
        <f t="shared" si="8"/>
        <v/>
      </c>
    </row>
    <row r="546" spans="6:6" x14ac:dyDescent="0.25">
      <c r="F546" t="str">
        <f t="shared" si="8"/>
        <v/>
      </c>
    </row>
    <row r="547" spans="6:6" x14ac:dyDescent="0.25">
      <c r="F547" t="str">
        <f t="shared" si="8"/>
        <v/>
      </c>
    </row>
    <row r="548" spans="6:6" x14ac:dyDescent="0.25">
      <c r="F548" t="str">
        <f t="shared" si="8"/>
        <v/>
      </c>
    </row>
    <row r="549" spans="6:6" x14ac:dyDescent="0.25">
      <c r="F549" t="str">
        <f t="shared" si="8"/>
        <v/>
      </c>
    </row>
    <row r="550" spans="6:6" x14ac:dyDescent="0.25">
      <c r="F550" t="str">
        <f t="shared" si="8"/>
        <v/>
      </c>
    </row>
    <row r="551" spans="6:6" x14ac:dyDescent="0.25">
      <c r="F551" t="str">
        <f t="shared" si="8"/>
        <v/>
      </c>
    </row>
    <row r="552" spans="6:6" x14ac:dyDescent="0.25">
      <c r="F552" t="str">
        <f t="shared" si="8"/>
        <v/>
      </c>
    </row>
    <row r="553" spans="6:6" x14ac:dyDescent="0.25">
      <c r="F553" t="str">
        <f t="shared" si="8"/>
        <v/>
      </c>
    </row>
    <row r="554" spans="6:6" x14ac:dyDescent="0.25">
      <c r="F554" t="str">
        <f t="shared" si="8"/>
        <v/>
      </c>
    </row>
    <row r="555" spans="6:6" x14ac:dyDescent="0.25">
      <c r="F555" t="str">
        <f t="shared" si="8"/>
        <v/>
      </c>
    </row>
    <row r="556" spans="6:6" x14ac:dyDescent="0.25">
      <c r="F556" t="str">
        <f t="shared" si="8"/>
        <v/>
      </c>
    </row>
    <row r="557" spans="6:6" x14ac:dyDescent="0.25">
      <c r="F557" t="str">
        <f t="shared" si="8"/>
        <v/>
      </c>
    </row>
    <row r="558" spans="6:6" x14ac:dyDescent="0.25">
      <c r="F558" t="str">
        <f t="shared" si="8"/>
        <v/>
      </c>
    </row>
    <row r="559" spans="6:6" x14ac:dyDescent="0.25">
      <c r="F559" t="str">
        <f t="shared" si="8"/>
        <v/>
      </c>
    </row>
    <row r="560" spans="6:6" x14ac:dyDescent="0.25">
      <c r="F560" t="str">
        <f t="shared" si="8"/>
        <v/>
      </c>
    </row>
    <row r="561" spans="6:6" x14ac:dyDescent="0.25">
      <c r="F561" t="str">
        <f t="shared" si="8"/>
        <v/>
      </c>
    </row>
    <row r="562" spans="6:6" x14ac:dyDescent="0.25">
      <c r="F562" t="str">
        <f t="shared" si="8"/>
        <v/>
      </c>
    </row>
    <row r="563" spans="6:6" x14ac:dyDescent="0.25">
      <c r="F563" t="str">
        <f t="shared" si="8"/>
        <v/>
      </c>
    </row>
    <row r="564" spans="6:6" x14ac:dyDescent="0.25">
      <c r="F564" t="str">
        <f t="shared" si="8"/>
        <v/>
      </c>
    </row>
    <row r="565" spans="6:6" x14ac:dyDescent="0.25">
      <c r="F565" t="str">
        <f t="shared" si="8"/>
        <v/>
      </c>
    </row>
    <row r="566" spans="6:6" x14ac:dyDescent="0.25">
      <c r="F566" t="str">
        <f t="shared" si="8"/>
        <v/>
      </c>
    </row>
    <row r="567" spans="6:6" x14ac:dyDescent="0.25">
      <c r="F567" t="str">
        <f t="shared" si="8"/>
        <v/>
      </c>
    </row>
    <row r="568" spans="6:6" x14ac:dyDescent="0.25">
      <c r="F568" t="str">
        <f t="shared" si="8"/>
        <v/>
      </c>
    </row>
    <row r="569" spans="6:6" x14ac:dyDescent="0.25">
      <c r="F569" t="str">
        <f t="shared" si="8"/>
        <v/>
      </c>
    </row>
    <row r="570" spans="6:6" x14ac:dyDescent="0.25">
      <c r="F570" t="str">
        <f t="shared" si="8"/>
        <v/>
      </c>
    </row>
    <row r="571" spans="6:6" x14ac:dyDescent="0.25">
      <c r="F571" t="str">
        <f t="shared" si="8"/>
        <v/>
      </c>
    </row>
    <row r="572" spans="6:6" x14ac:dyDescent="0.25">
      <c r="F572" t="str">
        <f t="shared" si="8"/>
        <v/>
      </c>
    </row>
    <row r="573" spans="6:6" x14ac:dyDescent="0.25">
      <c r="F573" t="str">
        <f t="shared" si="8"/>
        <v/>
      </c>
    </row>
    <row r="574" spans="6:6" x14ac:dyDescent="0.25">
      <c r="F574" t="str">
        <f t="shared" si="8"/>
        <v/>
      </c>
    </row>
    <row r="575" spans="6:6" x14ac:dyDescent="0.25">
      <c r="F575" t="str">
        <f t="shared" si="8"/>
        <v/>
      </c>
    </row>
    <row r="576" spans="6:6" x14ac:dyDescent="0.25">
      <c r="F576" t="str">
        <f t="shared" ref="F576:F639" si="9">IF(A576="","",IF(E576=1,A576*B576+12%,A576*B576))</f>
        <v/>
      </c>
    </row>
    <row r="577" spans="6:6" x14ac:dyDescent="0.25">
      <c r="F577" t="str">
        <f t="shared" si="9"/>
        <v/>
      </c>
    </row>
    <row r="578" spans="6:6" x14ac:dyDescent="0.25">
      <c r="F578" t="str">
        <f t="shared" si="9"/>
        <v/>
      </c>
    </row>
    <row r="579" spans="6:6" x14ac:dyDescent="0.25">
      <c r="F579" t="str">
        <f t="shared" si="9"/>
        <v/>
      </c>
    </row>
    <row r="580" spans="6:6" x14ac:dyDescent="0.25">
      <c r="F580" t="str">
        <f t="shared" si="9"/>
        <v/>
      </c>
    </row>
    <row r="581" spans="6:6" x14ac:dyDescent="0.25">
      <c r="F581" t="str">
        <f t="shared" si="9"/>
        <v/>
      </c>
    </row>
    <row r="582" spans="6:6" x14ac:dyDescent="0.25">
      <c r="F582" t="str">
        <f t="shared" si="9"/>
        <v/>
      </c>
    </row>
    <row r="583" spans="6:6" x14ac:dyDescent="0.25">
      <c r="F583" t="str">
        <f t="shared" si="9"/>
        <v/>
      </c>
    </row>
    <row r="584" spans="6:6" x14ac:dyDescent="0.25">
      <c r="F584" t="str">
        <f t="shared" si="9"/>
        <v/>
      </c>
    </row>
    <row r="585" spans="6:6" x14ac:dyDescent="0.25">
      <c r="F585" t="str">
        <f t="shared" si="9"/>
        <v/>
      </c>
    </row>
    <row r="586" spans="6:6" x14ac:dyDescent="0.25">
      <c r="F586" t="str">
        <f t="shared" si="9"/>
        <v/>
      </c>
    </row>
    <row r="587" spans="6:6" x14ac:dyDescent="0.25">
      <c r="F587" t="str">
        <f t="shared" si="9"/>
        <v/>
      </c>
    </row>
    <row r="588" spans="6:6" x14ac:dyDescent="0.25">
      <c r="F588" t="str">
        <f t="shared" si="9"/>
        <v/>
      </c>
    </row>
    <row r="589" spans="6:6" x14ac:dyDescent="0.25">
      <c r="F589" t="str">
        <f t="shared" si="9"/>
        <v/>
      </c>
    </row>
    <row r="590" spans="6:6" x14ac:dyDescent="0.25">
      <c r="F590" t="str">
        <f t="shared" si="9"/>
        <v/>
      </c>
    </row>
    <row r="591" spans="6:6" x14ac:dyDescent="0.25">
      <c r="F591" t="str">
        <f t="shared" si="9"/>
        <v/>
      </c>
    </row>
    <row r="592" spans="6:6" x14ac:dyDescent="0.25">
      <c r="F592" t="str">
        <f t="shared" si="9"/>
        <v/>
      </c>
    </row>
    <row r="593" spans="6:6" x14ac:dyDescent="0.25">
      <c r="F593" t="str">
        <f t="shared" si="9"/>
        <v/>
      </c>
    </row>
    <row r="594" spans="6:6" x14ac:dyDescent="0.25">
      <c r="F594" t="str">
        <f t="shared" si="9"/>
        <v/>
      </c>
    </row>
    <row r="595" spans="6:6" x14ac:dyDescent="0.25">
      <c r="F595" t="str">
        <f t="shared" si="9"/>
        <v/>
      </c>
    </row>
    <row r="596" spans="6:6" x14ac:dyDescent="0.25">
      <c r="F596" t="str">
        <f t="shared" si="9"/>
        <v/>
      </c>
    </row>
    <row r="597" spans="6:6" x14ac:dyDescent="0.25">
      <c r="F597" t="str">
        <f t="shared" si="9"/>
        <v/>
      </c>
    </row>
    <row r="598" spans="6:6" x14ac:dyDescent="0.25">
      <c r="F598" t="str">
        <f t="shared" si="9"/>
        <v/>
      </c>
    </row>
    <row r="599" spans="6:6" x14ac:dyDescent="0.25">
      <c r="F599" t="str">
        <f t="shared" si="9"/>
        <v/>
      </c>
    </row>
    <row r="600" spans="6:6" x14ac:dyDescent="0.25">
      <c r="F600" t="str">
        <f t="shared" si="9"/>
        <v/>
      </c>
    </row>
    <row r="601" spans="6:6" x14ac:dyDescent="0.25">
      <c r="F601" t="str">
        <f t="shared" si="9"/>
        <v/>
      </c>
    </row>
    <row r="602" spans="6:6" x14ac:dyDescent="0.25">
      <c r="F602" t="str">
        <f t="shared" si="9"/>
        <v/>
      </c>
    </row>
    <row r="603" spans="6:6" x14ac:dyDescent="0.25">
      <c r="F603" t="str">
        <f t="shared" si="9"/>
        <v/>
      </c>
    </row>
    <row r="604" spans="6:6" x14ac:dyDescent="0.25">
      <c r="F604" t="str">
        <f t="shared" si="9"/>
        <v/>
      </c>
    </row>
    <row r="605" spans="6:6" x14ac:dyDescent="0.25">
      <c r="F605" t="str">
        <f t="shared" si="9"/>
        <v/>
      </c>
    </row>
    <row r="606" spans="6:6" x14ac:dyDescent="0.25">
      <c r="F606" t="str">
        <f t="shared" si="9"/>
        <v/>
      </c>
    </row>
    <row r="607" spans="6:6" x14ac:dyDescent="0.25">
      <c r="F607" t="str">
        <f t="shared" si="9"/>
        <v/>
      </c>
    </row>
    <row r="608" spans="6:6" x14ac:dyDescent="0.25">
      <c r="F608" t="str">
        <f t="shared" si="9"/>
        <v/>
      </c>
    </row>
    <row r="609" spans="6:6" x14ac:dyDescent="0.25">
      <c r="F609" t="str">
        <f t="shared" si="9"/>
        <v/>
      </c>
    </row>
    <row r="610" spans="6:6" x14ac:dyDescent="0.25">
      <c r="F610" t="str">
        <f t="shared" si="9"/>
        <v/>
      </c>
    </row>
    <row r="611" spans="6:6" x14ac:dyDescent="0.25">
      <c r="F611" t="str">
        <f t="shared" si="9"/>
        <v/>
      </c>
    </row>
    <row r="612" spans="6:6" x14ac:dyDescent="0.25">
      <c r="F612" t="str">
        <f t="shared" si="9"/>
        <v/>
      </c>
    </row>
    <row r="613" spans="6:6" x14ac:dyDescent="0.25">
      <c r="F613" t="str">
        <f t="shared" si="9"/>
        <v/>
      </c>
    </row>
    <row r="614" spans="6:6" x14ac:dyDescent="0.25">
      <c r="F614" t="str">
        <f t="shared" si="9"/>
        <v/>
      </c>
    </row>
    <row r="615" spans="6:6" x14ac:dyDescent="0.25">
      <c r="F615" t="str">
        <f t="shared" si="9"/>
        <v/>
      </c>
    </row>
    <row r="616" spans="6:6" x14ac:dyDescent="0.25">
      <c r="F616" t="str">
        <f t="shared" si="9"/>
        <v/>
      </c>
    </row>
    <row r="617" spans="6:6" x14ac:dyDescent="0.25">
      <c r="F617" t="str">
        <f t="shared" si="9"/>
        <v/>
      </c>
    </row>
    <row r="618" spans="6:6" x14ac:dyDescent="0.25">
      <c r="F618" t="str">
        <f t="shared" si="9"/>
        <v/>
      </c>
    </row>
    <row r="619" spans="6:6" x14ac:dyDescent="0.25">
      <c r="F619" t="str">
        <f t="shared" si="9"/>
        <v/>
      </c>
    </row>
    <row r="620" spans="6:6" x14ac:dyDescent="0.25">
      <c r="F620" t="str">
        <f t="shared" si="9"/>
        <v/>
      </c>
    </row>
    <row r="621" spans="6:6" x14ac:dyDescent="0.25">
      <c r="F621" t="str">
        <f t="shared" si="9"/>
        <v/>
      </c>
    </row>
    <row r="622" spans="6:6" x14ac:dyDescent="0.25">
      <c r="F622" t="str">
        <f t="shared" si="9"/>
        <v/>
      </c>
    </row>
    <row r="623" spans="6:6" x14ac:dyDescent="0.25">
      <c r="F623" t="str">
        <f t="shared" si="9"/>
        <v/>
      </c>
    </row>
    <row r="624" spans="6:6" x14ac:dyDescent="0.25">
      <c r="F624" t="str">
        <f t="shared" si="9"/>
        <v/>
      </c>
    </row>
    <row r="625" spans="6:6" x14ac:dyDescent="0.25">
      <c r="F625" t="str">
        <f t="shared" si="9"/>
        <v/>
      </c>
    </row>
    <row r="626" spans="6:6" x14ac:dyDescent="0.25">
      <c r="F626" t="str">
        <f t="shared" si="9"/>
        <v/>
      </c>
    </row>
    <row r="627" spans="6:6" x14ac:dyDescent="0.25">
      <c r="F627" t="str">
        <f t="shared" si="9"/>
        <v/>
      </c>
    </row>
    <row r="628" spans="6:6" x14ac:dyDescent="0.25">
      <c r="F628" t="str">
        <f t="shared" si="9"/>
        <v/>
      </c>
    </row>
    <row r="629" spans="6:6" x14ac:dyDescent="0.25">
      <c r="F629" t="str">
        <f t="shared" si="9"/>
        <v/>
      </c>
    </row>
    <row r="630" spans="6:6" x14ac:dyDescent="0.25">
      <c r="F630" t="str">
        <f t="shared" si="9"/>
        <v/>
      </c>
    </row>
    <row r="631" spans="6:6" x14ac:dyDescent="0.25">
      <c r="F631" t="str">
        <f t="shared" si="9"/>
        <v/>
      </c>
    </row>
    <row r="632" spans="6:6" x14ac:dyDescent="0.25">
      <c r="F632" t="str">
        <f t="shared" si="9"/>
        <v/>
      </c>
    </row>
    <row r="633" spans="6:6" x14ac:dyDescent="0.25">
      <c r="F633" t="str">
        <f t="shared" si="9"/>
        <v/>
      </c>
    </row>
    <row r="634" spans="6:6" x14ac:dyDescent="0.25">
      <c r="F634" t="str">
        <f t="shared" si="9"/>
        <v/>
      </c>
    </row>
    <row r="635" spans="6:6" x14ac:dyDescent="0.25">
      <c r="F635" t="str">
        <f t="shared" si="9"/>
        <v/>
      </c>
    </row>
    <row r="636" spans="6:6" x14ac:dyDescent="0.25">
      <c r="F636" t="str">
        <f t="shared" si="9"/>
        <v/>
      </c>
    </row>
    <row r="637" spans="6:6" x14ac:dyDescent="0.25">
      <c r="F637" t="str">
        <f t="shared" si="9"/>
        <v/>
      </c>
    </row>
    <row r="638" spans="6:6" x14ac:dyDescent="0.25">
      <c r="F638" t="str">
        <f t="shared" si="9"/>
        <v/>
      </c>
    </row>
    <row r="639" spans="6:6" x14ac:dyDescent="0.25">
      <c r="F639" t="str">
        <f t="shared" si="9"/>
        <v/>
      </c>
    </row>
    <row r="640" spans="6:6" x14ac:dyDescent="0.25">
      <c r="F640" t="str">
        <f t="shared" ref="F640:F703" si="10">IF(A640="","",IF(E640=1,A640*B640+12%,A640*B640))</f>
        <v/>
      </c>
    </row>
    <row r="641" spans="6:6" x14ac:dyDescent="0.25">
      <c r="F641" t="str">
        <f t="shared" si="10"/>
        <v/>
      </c>
    </row>
    <row r="642" spans="6:6" x14ac:dyDescent="0.25">
      <c r="F642" t="str">
        <f t="shared" si="10"/>
        <v/>
      </c>
    </row>
    <row r="643" spans="6:6" x14ac:dyDescent="0.25">
      <c r="F643" t="str">
        <f t="shared" si="10"/>
        <v/>
      </c>
    </row>
    <row r="644" spans="6:6" x14ac:dyDescent="0.25">
      <c r="F644" t="str">
        <f t="shared" si="10"/>
        <v/>
      </c>
    </row>
    <row r="645" spans="6:6" x14ac:dyDescent="0.25">
      <c r="F645" t="str">
        <f t="shared" si="10"/>
        <v/>
      </c>
    </row>
    <row r="646" spans="6:6" x14ac:dyDescent="0.25">
      <c r="F646" t="str">
        <f t="shared" si="10"/>
        <v/>
      </c>
    </row>
    <row r="647" spans="6:6" x14ac:dyDescent="0.25">
      <c r="F647" t="str">
        <f t="shared" si="10"/>
        <v/>
      </c>
    </row>
    <row r="648" spans="6:6" x14ac:dyDescent="0.25">
      <c r="F648" t="str">
        <f t="shared" si="10"/>
        <v/>
      </c>
    </row>
    <row r="649" spans="6:6" x14ac:dyDescent="0.25">
      <c r="F649" t="str">
        <f t="shared" si="10"/>
        <v/>
      </c>
    </row>
    <row r="650" spans="6:6" x14ac:dyDescent="0.25">
      <c r="F650" t="str">
        <f t="shared" si="10"/>
        <v/>
      </c>
    </row>
    <row r="651" spans="6:6" x14ac:dyDescent="0.25">
      <c r="F651" t="str">
        <f t="shared" si="10"/>
        <v/>
      </c>
    </row>
    <row r="652" spans="6:6" x14ac:dyDescent="0.25">
      <c r="F652" t="str">
        <f t="shared" si="10"/>
        <v/>
      </c>
    </row>
    <row r="653" spans="6:6" x14ac:dyDescent="0.25">
      <c r="F653" t="str">
        <f t="shared" si="10"/>
        <v/>
      </c>
    </row>
    <row r="654" spans="6:6" x14ac:dyDescent="0.25">
      <c r="F654" t="str">
        <f t="shared" si="10"/>
        <v/>
      </c>
    </row>
    <row r="655" spans="6:6" x14ac:dyDescent="0.25">
      <c r="F655" t="str">
        <f t="shared" si="10"/>
        <v/>
      </c>
    </row>
    <row r="656" spans="6:6" x14ac:dyDescent="0.25">
      <c r="F656" t="str">
        <f t="shared" si="10"/>
        <v/>
      </c>
    </row>
    <row r="657" spans="6:6" x14ac:dyDescent="0.25">
      <c r="F657" t="str">
        <f t="shared" si="10"/>
        <v/>
      </c>
    </row>
    <row r="658" spans="6:6" x14ac:dyDescent="0.25">
      <c r="F658" t="str">
        <f t="shared" si="10"/>
        <v/>
      </c>
    </row>
    <row r="659" spans="6:6" x14ac:dyDescent="0.25">
      <c r="F659" t="str">
        <f t="shared" si="10"/>
        <v/>
      </c>
    </row>
    <row r="660" spans="6:6" x14ac:dyDescent="0.25">
      <c r="F660" t="str">
        <f t="shared" si="10"/>
        <v/>
      </c>
    </row>
    <row r="661" spans="6:6" x14ac:dyDescent="0.25">
      <c r="F661" t="str">
        <f t="shared" si="10"/>
        <v/>
      </c>
    </row>
    <row r="662" spans="6:6" x14ac:dyDescent="0.25">
      <c r="F662" t="str">
        <f t="shared" si="10"/>
        <v/>
      </c>
    </row>
    <row r="663" spans="6:6" x14ac:dyDescent="0.25">
      <c r="F663" t="str">
        <f t="shared" si="10"/>
        <v/>
      </c>
    </row>
    <row r="664" spans="6:6" x14ac:dyDescent="0.25">
      <c r="F664" t="str">
        <f t="shared" si="10"/>
        <v/>
      </c>
    </row>
    <row r="665" spans="6:6" x14ac:dyDescent="0.25">
      <c r="F665" t="str">
        <f t="shared" si="10"/>
        <v/>
      </c>
    </row>
    <row r="666" spans="6:6" x14ac:dyDescent="0.25">
      <c r="F666" t="str">
        <f t="shared" si="10"/>
        <v/>
      </c>
    </row>
    <row r="667" spans="6:6" x14ac:dyDescent="0.25">
      <c r="F667" t="str">
        <f t="shared" si="10"/>
        <v/>
      </c>
    </row>
    <row r="668" spans="6:6" x14ac:dyDescent="0.25">
      <c r="F668" t="str">
        <f t="shared" si="10"/>
        <v/>
      </c>
    </row>
    <row r="669" spans="6:6" x14ac:dyDescent="0.25">
      <c r="F669" t="str">
        <f t="shared" si="10"/>
        <v/>
      </c>
    </row>
    <row r="670" spans="6:6" x14ac:dyDescent="0.25">
      <c r="F670" t="str">
        <f t="shared" si="10"/>
        <v/>
      </c>
    </row>
    <row r="671" spans="6:6" x14ac:dyDescent="0.25">
      <c r="F671" t="str">
        <f t="shared" si="10"/>
        <v/>
      </c>
    </row>
    <row r="672" spans="6:6" x14ac:dyDescent="0.25">
      <c r="F672" t="str">
        <f t="shared" si="10"/>
        <v/>
      </c>
    </row>
    <row r="673" spans="6:6" x14ac:dyDescent="0.25">
      <c r="F673" t="str">
        <f t="shared" si="10"/>
        <v/>
      </c>
    </row>
    <row r="674" spans="6:6" x14ac:dyDescent="0.25">
      <c r="F674" t="str">
        <f t="shared" si="10"/>
        <v/>
      </c>
    </row>
    <row r="675" spans="6:6" x14ac:dyDescent="0.25">
      <c r="F675" t="str">
        <f t="shared" si="10"/>
        <v/>
      </c>
    </row>
    <row r="676" spans="6:6" x14ac:dyDescent="0.25">
      <c r="F676" t="str">
        <f t="shared" si="10"/>
        <v/>
      </c>
    </row>
    <row r="677" spans="6:6" x14ac:dyDescent="0.25">
      <c r="F677" t="str">
        <f t="shared" si="10"/>
        <v/>
      </c>
    </row>
    <row r="678" spans="6:6" x14ac:dyDescent="0.25">
      <c r="F678" t="str">
        <f t="shared" si="10"/>
        <v/>
      </c>
    </row>
    <row r="679" spans="6:6" x14ac:dyDescent="0.25">
      <c r="F679" t="str">
        <f t="shared" si="10"/>
        <v/>
      </c>
    </row>
    <row r="680" spans="6:6" x14ac:dyDescent="0.25">
      <c r="F680" t="str">
        <f t="shared" si="10"/>
        <v/>
      </c>
    </row>
    <row r="681" spans="6:6" x14ac:dyDescent="0.25">
      <c r="F681" t="str">
        <f t="shared" si="10"/>
        <v/>
      </c>
    </row>
    <row r="682" spans="6:6" x14ac:dyDescent="0.25">
      <c r="F682" t="str">
        <f t="shared" si="10"/>
        <v/>
      </c>
    </row>
    <row r="683" spans="6:6" x14ac:dyDescent="0.25">
      <c r="F683" t="str">
        <f t="shared" si="10"/>
        <v/>
      </c>
    </row>
    <row r="684" spans="6:6" x14ac:dyDescent="0.25">
      <c r="F684" t="str">
        <f t="shared" si="10"/>
        <v/>
      </c>
    </row>
    <row r="685" spans="6:6" x14ac:dyDescent="0.25">
      <c r="F685" t="str">
        <f t="shared" si="10"/>
        <v/>
      </c>
    </row>
    <row r="686" spans="6:6" x14ac:dyDescent="0.25">
      <c r="F686" t="str">
        <f t="shared" si="10"/>
        <v/>
      </c>
    </row>
    <row r="687" spans="6:6" x14ac:dyDescent="0.25">
      <c r="F687" t="str">
        <f t="shared" si="10"/>
        <v/>
      </c>
    </row>
    <row r="688" spans="6:6" x14ac:dyDescent="0.25">
      <c r="F688" t="str">
        <f t="shared" si="10"/>
        <v/>
      </c>
    </row>
    <row r="689" spans="6:6" x14ac:dyDescent="0.25">
      <c r="F689" t="str">
        <f t="shared" si="10"/>
        <v/>
      </c>
    </row>
    <row r="690" spans="6:6" x14ac:dyDescent="0.25">
      <c r="F690" t="str">
        <f t="shared" si="10"/>
        <v/>
      </c>
    </row>
    <row r="691" spans="6:6" x14ac:dyDescent="0.25">
      <c r="F691" t="str">
        <f t="shared" si="10"/>
        <v/>
      </c>
    </row>
    <row r="692" spans="6:6" x14ac:dyDescent="0.25">
      <c r="F692" t="str">
        <f t="shared" si="10"/>
        <v/>
      </c>
    </row>
    <row r="693" spans="6:6" x14ac:dyDescent="0.25">
      <c r="F693" t="str">
        <f t="shared" si="10"/>
        <v/>
      </c>
    </row>
    <row r="694" spans="6:6" x14ac:dyDescent="0.25">
      <c r="F694" t="str">
        <f t="shared" si="10"/>
        <v/>
      </c>
    </row>
    <row r="695" spans="6:6" x14ac:dyDescent="0.25">
      <c r="F695" t="str">
        <f t="shared" si="10"/>
        <v/>
      </c>
    </row>
    <row r="696" spans="6:6" x14ac:dyDescent="0.25">
      <c r="F696" t="str">
        <f t="shared" si="10"/>
        <v/>
      </c>
    </row>
    <row r="697" spans="6:6" x14ac:dyDescent="0.25">
      <c r="F697" t="str">
        <f t="shared" si="10"/>
        <v/>
      </c>
    </row>
    <row r="698" spans="6:6" x14ac:dyDescent="0.25">
      <c r="F698" t="str">
        <f t="shared" si="10"/>
        <v/>
      </c>
    </row>
    <row r="699" spans="6:6" x14ac:dyDescent="0.25">
      <c r="F699" t="str">
        <f t="shared" si="10"/>
        <v/>
      </c>
    </row>
    <row r="700" spans="6:6" x14ac:dyDescent="0.25">
      <c r="F700" t="str">
        <f t="shared" si="10"/>
        <v/>
      </c>
    </row>
    <row r="701" spans="6:6" x14ac:dyDescent="0.25">
      <c r="F701" t="str">
        <f t="shared" si="10"/>
        <v/>
      </c>
    </row>
    <row r="702" spans="6:6" x14ac:dyDescent="0.25">
      <c r="F702" t="str">
        <f t="shared" si="10"/>
        <v/>
      </c>
    </row>
    <row r="703" spans="6:6" x14ac:dyDescent="0.25">
      <c r="F703" t="str">
        <f t="shared" si="10"/>
        <v/>
      </c>
    </row>
    <row r="704" spans="6:6" x14ac:dyDescent="0.25">
      <c r="F704" t="str">
        <f t="shared" ref="F704:F761" si="11">IF(A704="","",IF(E704=1,A704*B704+12%,A704*B704))</f>
        <v/>
      </c>
    </row>
    <row r="705" spans="6:6" x14ac:dyDescent="0.25">
      <c r="F705" t="str">
        <f t="shared" si="11"/>
        <v/>
      </c>
    </row>
    <row r="706" spans="6:6" x14ac:dyDescent="0.25">
      <c r="F706" t="str">
        <f t="shared" si="11"/>
        <v/>
      </c>
    </row>
    <row r="707" spans="6:6" x14ac:dyDescent="0.25">
      <c r="F707" t="str">
        <f t="shared" si="11"/>
        <v/>
      </c>
    </row>
    <row r="708" spans="6:6" x14ac:dyDescent="0.25">
      <c r="F708" t="str">
        <f t="shared" si="11"/>
        <v/>
      </c>
    </row>
    <row r="709" spans="6:6" x14ac:dyDescent="0.25">
      <c r="F709" t="str">
        <f t="shared" si="11"/>
        <v/>
      </c>
    </row>
    <row r="710" spans="6:6" x14ac:dyDescent="0.25">
      <c r="F710" t="str">
        <f t="shared" si="11"/>
        <v/>
      </c>
    </row>
    <row r="711" spans="6:6" x14ac:dyDescent="0.25">
      <c r="F711" t="str">
        <f t="shared" si="11"/>
        <v/>
      </c>
    </row>
    <row r="712" spans="6:6" x14ac:dyDescent="0.25">
      <c r="F712" t="str">
        <f t="shared" si="11"/>
        <v/>
      </c>
    </row>
    <row r="713" spans="6:6" x14ac:dyDescent="0.25">
      <c r="F713" t="str">
        <f t="shared" si="11"/>
        <v/>
      </c>
    </row>
    <row r="714" spans="6:6" x14ac:dyDescent="0.25">
      <c r="F714" t="str">
        <f t="shared" si="11"/>
        <v/>
      </c>
    </row>
    <row r="715" spans="6:6" x14ac:dyDescent="0.25">
      <c r="F715" t="str">
        <f t="shared" si="11"/>
        <v/>
      </c>
    </row>
    <row r="716" spans="6:6" x14ac:dyDescent="0.25">
      <c r="F716" t="str">
        <f t="shared" si="11"/>
        <v/>
      </c>
    </row>
    <row r="717" spans="6:6" x14ac:dyDescent="0.25">
      <c r="F717" t="str">
        <f t="shared" si="11"/>
        <v/>
      </c>
    </row>
    <row r="718" spans="6:6" x14ac:dyDescent="0.25">
      <c r="F718" t="str">
        <f t="shared" si="11"/>
        <v/>
      </c>
    </row>
    <row r="719" spans="6:6" x14ac:dyDescent="0.25">
      <c r="F719" t="str">
        <f t="shared" si="11"/>
        <v/>
      </c>
    </row>
    <row r="720" spans="6:6" x14ac:dyDescent="0.25">
      <c r="F720" t="str">
        <f t="shared" si="11"/>
        <v/>
      </c>
    </row>
    <row r="721" spans="6:6" x14ac:dyDescent="0.25">
      <c r="F721" t="str">
        <f t="shared" si="11"/>
        <v/>
      </c>
    </row>
    <row r="722" spans="6:6" x14ac:dyDescent="0.25">
      <c r="F722" t="str">
        <f t="shared" si="11"/>
        <v/>
      </c>
    </row>
    <row r="723" spans="6:6" x14ac:dyDescent="0.25">
      <c r="F723" t="str">
        <f t="shared" si="11"/>
        <v/>
      </c>
    </row>
    <row r="724" spans="6:6" x14ac:dyDescent="0.25">
      <c r="F724" t="str">
        <f t="shared" si="11"/>
        <v/>
      </c>
    </row>
    <row r="725" spans="6:6" x14ac:dyDescent="0.25">
      <c r="F725" t="str">
        <f t="shared" si="11"/>
        <v/>
      </c>
    </row>
    <row r="726" spans="6:6" x14ac:dyDescent="0.25">
      <c r="F726" t="str">
        <f t="shared" si="11"/>
        <v/>
      </c>
    </row>
    <row r="727" spans="6:6" x14ac:dyDescent="0.25">
      <c r="F727" t="str">
        <f t="shared" si="11"/>
        <v/>
      </c>
    </row>
    <row r="728" spans="6:6" x14ac:dyDescent="0.25">
      <c r="F728" t="str">
        <f t="shared" si="11"/>
        <v/>
      </c>
    </row>
    <row r="729" spans="6:6" x14ac:dyDescent="0.25">
      <c r="F729" t="str">
        <f t="shared" si="11"/>
        <v/>
      </c>
    </row>
    <row r="730" spans="6:6" x14ac:dyDescent="0.25">
      <c r="F730" t="str">
        <f t="shared" si="11"/>
        <v/>
      </c>
    </row>
    <row r="731" spans="6:6" x14ac:dyDescent="0.25">
      <c r="F731" t="str">
        <f t="shared" si="11"/>
        <v/>
      </c>
    </row>
    <row r="732" spans="6:6" x14ac:dyDescent="0.25">
      <c r="F732" t="str">
        <f t="shared" si="11"/>
        <v/>
      </c>
    </row>
    <row r="733" spans="6:6" x14ac:dyDescent="0.25">
      <c r="F733" t="str">
        <f t="shared" si="11"/>
        <v/>
      </c>
    </row>
    <row r="734" spans="6:6" x14ac:dyDescent="0.25">
      <c r="F734" t="str">
        <f t="shared" si="11"/>
        <v/>
      </c>
    </row>
    <row r="735" spans="6:6" x14ac:dyDescent="0.25">
      <c r="F735" t="str">
        <f t="shared" si="11"/>
        <v/>
      </c>
    </row>
    <row r="736" spans="6:6" x14ac:dyDescent="0.25">
      <c r="F736" t="str">
        <f t="shared" si="11"/>
        <v/>
      </c>
    </row>
    <row r="737" spans="6:6" x14ac:dyDescent="0.25">
      <c r="F737" t="str">
        <f t="shared" si="11"/>
        <v/>
      </c>
    </row>
    <row r="738" spans="6:6" x14ac:dyDescent="0.25">
      <c r="F738" t="str">
        <f t="shared" si="11"/>
        <v/>
      </c>
    </row>
    <row r="739" spans="6:6" x14ac:dyDescent="0.25">
      <c r="F739" t="str">
        <f t="shared" si="11"/>
        <v/>
      </c>
    </row>
    <row r="740" spans="6:6" x14ac:dyDescent="0.25">
      <c r="F740" t="str">
        <f t="shared" si="11"/>
        <v/>
      </c>
    </row>
    <row r="741" spans="6:6" x14ac:dyDescent="0.25">
      <c r="F741" t="str">
        <f t="shared" si="11"/>
        <v/>
      </c>
    </row>
    <row r="742" spans="6:6" x14ac:dyDescent="0.25">
      <c r="F742" t="str">
        <f t="shared" si="11"/>
        <v/>
      </c>
    </row>
    <row r="743" spans="6:6" x14ac:dyDescent="0.25">
      <c r="F743" t="str">
        <f t="shared" si="11"/>
        <v/>
      </c>
    </row>
    <row r="744" spans="6:6" x14ac:dyDescent="0.25">
      <c r="F744" t="str">
        <f t="shared" si="11"/>
        <v/>
      </c>
    </row>
    <row r="745" spans="6:6" x14ac:dyDescent="0.25">
      <c r="F745" t="str">
        <f t="shared" si="11"/>
        <v/>
      </c>
    </row>
    <row r="746" spans="6:6" x14ac:dyDescent="0.25">
      <c r="F746" t="str">
        <f t="shared" si="11"/>
        <v/>
      </c>
    </row>
    <row r="747" spans="6:6" x14ac:dyDescent="0.25">
      <c r="F747" t="str">
        <f t="shared" si="11"/>
        <v/>
      </c>
    </row>
    <row r="748" spans="6:6" x14ac:dyDescent="0.25">
      <c r="F748" t="str">
        <f t="shared" si="11"/>
        <v/>
      </c>
    </row>
    <row r="749" spans="6:6" x14ac:dyDescent="0.25">
      <c r="F749" t="str">
        <f t="shared" si="11"/>
        <v/>
      </c>
    </row>
    <row r="750" spans="6:6" x14ac:dyDescent="0.25">
      <c r="F750" t="str">
        <f t="shared" si="11"/>
        <v/>
      </c>
    </row>
    <row r="751" spans="6:6" x14ac:dyDescent="0.25">
      <c r="F751" t="str">
        <f t="shared" si="11"/>
        <v/>
      </c>
    </row>
    <row r="752" spans="6:6" x14ac:dyDescent="0.25">
      <c r="F752" t="str">
        <f t="shared" si="11"/>
        <v/>
      </c>
    </row>
    <row r="753" spans="6:6" x14ac:dyDescent="0.25">
      <c r="F753" t="str">
        <f t="shared" si="11"/>
        <v/>
      </c>
    </row>
    <row r="754" spans="6:6" x14ac:dyDescent="0.25">
      <c r="F754" t="str">
        <f t="shared" si="11"/>
        <v/>
      </c>
    </row>
    <row r="755" spans="6:6" x14ac:dyDescent="0.25">
      <c r="F755" t="str">
        <f t="shared" si="11"/>
        <v/>
      </c>
    </row>
    <row r="756" spans="6:6" x14ac:dyDescent="0.25">
      <c r="F756" t="str">
        <f t="shared" si="11"/>
        <v/>
      </c>
    </row>
    <row r="757" spans="6:6" x14ac:dyDescent="0.25">
      <c r="F757" t="str">
        <f t="shared" si="11"/>
        <v/>
      </c>
    </row>
    <row r="758" spans="6:6" x14ac:dyDescent="0.25">
      <c r="F758" t="str">
        <f t="shared" si="11"/>
        <v/>
      </c>
    </row>
    <row r="759" spans="6:6" x14ac:dyDescent="0.25">
      <c r="F759" t="str">
        <f t="shared" si="11"/>
        <v/>
      </c>
    </row>
    <row r="760" spans="6:6" x14ac:dyDescent="0.25">
      <c r="F760" t="str">
        <f t="shared" si="11"/>
        <v/>
      </c>
    </row>
    <row r="761" spans="6:6" x14ac:dyDescent="0.25">
      <c r="F761" t="str">
        <f t="shared" si="11"/>
        <v/>
      </c>
    </row>
    <row r="762" spans="6:6" x14ac:dyDescent="0.25">
      <c r="F762" t="str">
        <f t="shared" ref="F762:F767" si="12">IF(A762="","",A762*B762)</f>
        <v/>
      </c>
    </row>
    <row r="763" spans="6:6" x14ac:dyDescent="0.25">
      <c r="F763" t="str">
        <f t="shared" si="12"/>
        <v/>
      </c>
    </row>
    <row r="764" spans="6:6" x14ac:dyDescent="0.25">
      <c r="F764" t="str">
        <f t="shared" si="12"/>
        <v/>
      </c>
    </row>
    <row r="765" spans="6:6" x14ac:dyDescent="0.25">
      <c r="F765" t="str">
        <f t="shared" si="12"/>
        <v/>
      </c>
    </row>
    <row r="766" spans="6:6" x14ac:dyDescent="0.25">
      <c r="F766" t="str">
        <f t="shared" si="12"/>
        <v/>
      </c>
    </row>
    <row r="767" spans="6:6" x14ac:dyDescent="0.25">
      <c r="F767" t="str">
        <f t="shared" si="12"/>
        <v/>
      </c>
    </row>
    <row r="768" spans="6:6" x14ac:dyDescent="0.25">
      <c r="F768" t="str">
        <f t="shared" ref="F768:F831" si="13">IF(A768="","",A768*B768)</f>
        <v/>
      </c>
    </row>
    <row r="769" spans="6:6" x14ac:dyDescent="0.25">
      <c r="F769" t="str">
        <f t="shared" si="13"/>
        <v/>
      </c>
    </row>
    <row r="770" spans="6:6" x14ac:dyDescent="0.25">
      <c r="F770" t="str">
        <f t="shared" si="13"/>
        <v/>
      </c>
    </row>
    <row r="771" spans="6:6" x14ac:dyDescent="0.25">
      <c r="F771" t="str">
        <f t="shared" si="13"/>
        <v/>
      </c>
    </row>
    <row r="772" spans="6:6" x14ac:dyDescent="0.25">
      <c r="F772" t="str">
        <f t="shared" si="13"/>
        <v/>
      </c>
    </row>
    <row r="773" spans="6:6" x14ac:dyDescent="0.25">
      <c r="F773" t="str">
        <f t="shared" si="13"/>
        <v/>
      </c>
    </row>
    <row r="774" spans="6:6" x14ac:dyDescent="0.25">
      <c r="F774" t="str">
        <f t="shared" si="13"/>
        <v/>
      </c>
    </row>
    <row r="775" spans="6:6" x14ac:dyDescent="0.25">
      <c r="F775" t="str">
        <f t="shared" si="13"/>
        <v/>
      </c>
    </row>
    <row r="776" spans="6:6" x14ac:dyDescent="0.25">
      <c r="F776" t="str">
        <f t="shared" si="13"/>
        <v/>
      </c>
    </row>
    <row r="777" spans="6:6" x14ac:dyDescent="0.25">
      <c r="F777" t="str">
        <f t="shared" si="13"/>
        <v/>
      </c>
    </row>
    <row r="778" spans="6:6" x14ac:dyDescent="0.25">
      <c r="F778" t="str">
        <f t="shared" si="13"/>
        <v/>
      </c>
    </row>
    <row r="779" spans="6:6" x14ac:dyDescent="0.25">
      <c r="F779" t="str">
        <f t="shared" si="13"/>
        <v/>
      </c>
    </row>
    <row r="780" spans="6:6" x14ac:dyDescent="0.25">
      <c r="F780" t="str">
        <f t="shared" si="13"/>
        <v/>
      </c>
    </row>
    <row r="781" spans="6:6" x14ac:dyDescent="0.25">
      <c r="F781" t="str">
        <f t="shared" si="13"/>
        <v/>
      </c>
    </row>
    <row r="782" spans="6:6" x14ac:dyDescent="0.25">
      <c r="F782" t="str">
        <f t="shared" si="13"/>
        <v/>
      </c>
    </row>
    <row r="783" spans="6:6" x14ac:dyDescent="0.25">
      <c r="F783" t="str">
        <f t="shared" si="13"/>
        <v/>
      </c>
    </row>
    <row r="784" spans="6:6" x14ac:dyDescent="0.25">
      <c r="F784" t="str">
        <f t="shared" si="13"/>
        <v/>
      </c>
    </row>
    <row r="785" spans="6:6" x14ac:dyDescent="0.25">
      <c r="F785" t="str">
        <f t="shared" si="13"/>
        <v/>
      </c>
    </row>
    <row r="786" spans="6:6" x14ac:dyDescent="0.25">
      <c r="F786" t="str">
        <f t="shared" si="13"/>
        <v/>
      </c>
    </row>
    <row r="787" spans="6:6" x14ac:dyDescent="0.25">
      <c r="F787" t="str">
        <f t="shared" si="13"/>
        <v/>
      </c>
    </row>
    <row r="788" spans="6:6" x14ac:dyDescent="0.25">
      <c r="F788" t="str">
        <f t="shared" si="13"/>
        <v/>
      </c>
    </row>
    <row r="789" spans="6:6" x14ac:dyDescent="0.25">
      <c r="F789" t="str">
        <f t="shared" si="13"/>
        <v/>
      </c>
    </row>
    <row r="790" spans="6:6" x14ac:dyDescent="0.25">
      <c r="F790" t="str">
        <f t="shared" si="13"/>
        <v/>
      </c>
    </row>
    <row r="791" spans="6:6" x14ac:dyDescent="0.25">
      <c r="F791" t="str">
        <f t="shared" si="13"/>
        <v/>
      </c>
    </row>
    <row r="792" spans="6:6" x14ac:dyDescent="0.25">
      <c r="F792" t="str">
        <f t="shared" si="13"/>
        <v/>
      </c>
    </row>
    <row r="793" spans="6:6" x14ac:dyDescent="0.25">
      <c r="F793" t="str">
        <f t="shared" si="13"/>
        <v/>
      </c>
    </row>
    <row r="794" spans="6:6" x14ac:dyDescent="0.25">
      <c r="F794" t="str">
        <f t="shared" si="13"/>
        <v/>
      </c>
    </row>
    <row r="795" spans="6:6" x14ac:dyDescent="0.25">
      <c r="F795" t="str">
        <f t="shared" si="13"/>
        <v/>
      </c>
    </row>
    <row r="796" spans="6:6" x14ac:dyDescent="0.25">
      <c r="F796" t="str">
        <f t="shared" si="13"/>
        <v/>
      </c>
    </row>
    <row r="797" spans="6:6" x14ac:dyDescent="0.25">
      <c r="F797" t="str">
        <f t="shared" si="13"/>
        <v/>
      </c>
    </row>
    <row r="798" spans="6:6" x14ac:dyDescent="0.25">
      <c r="F798" t="str">
        <f t="shared" si="13"/>
        <v/>
      </c>
    </row>
    <row r="799" spans="6:6" x14ac:dyDescent="0.25">
      <c r="F799" t="str">
        <f t="shared" si="13"/>
        <v/>
      </c>
    </row>
    <row r="800" spans="6:6" x14ac:dyDescent="0.25">
      <c r="F800" t="str">
        <f t="shared" si="13"/>
        <v/>
      </c>
    </row>
    <row r="801" spans="6:6" x14ac:dyDescent="0.25">
      <c r="F801" t="str">
        <f t="shared" si="13"/>
        <v/>
      </c>
    </row>
    <row r="802" spans="6:6" x14ac:dyDescent="0.25">
      <c r="F802" t="str">
        <f t="shared" si="13"/>
        <v/>
      </c>
    </row>
    <row r="803" spans="6:6" x14ac:dyDescent="0.25">
      <c r="F803" t="str">
        <f t="shared" si="13"/>
        <v/>
      </c>
    </row>
    <row r="804" spans="6:6" x14ac:dyDescent="0.25">
      <c r="F804" t="str">
        <f t="shared" si="13"/>
        <v/>
      </c>
    </row>
    <row r="805" spans="6:6" x14ac:dyDescent="0.25">
      <c r="F805" t="str">
        <f t="shared" si="13"/>
        <v/>
      </c>
    </row>
    <row r="806" spans="6:6" x14ac:dyDescent="0.25">
      <c r="F806" t="str">
        <f t="shared" si="13"/>
        <v/>
      </c>
    </row>
    <row r="807" spans="6:6" x14ac:dyDescent="0.25">
      <c r="F807" t="str">
        <f t="shared" si="13"/>
        <v/>
      </c>
    </row>
    <row r="808" spans="6:6" x14ac:dyDescent="0.25">
      <c r="F808" t="str">
        <f t="shared" si="13"/>
        <v/>
      </c>
    </row>
    <row r="809" spans="6:6" x14ac:dyDescent="0.25">
      <c r="F809" t="str">
        <f t="shared" si="13"/>
        <v/>
      </c>
    </row>
    <row r="810" spans="6:6" x14ac:dyDescent="0.25">
      <c r="F810" t="str">
        <f t="shared" si="13"/>
        <v/>
      </c>
    </row>
    <row r="811" spans="6:6" x14ac:dyDescent="0.25">
      <c r="F811" t="str">
        <f t="shared" si="13"/>
        <v/>
      </c>
    </row>
    <row r="812" spans="6:6" x14ac:dyDescent="0.25">
      <c r="F812" t="str">
        <f t="shared" si="13"/>
        <v/>
      </c>
    </row>
    <row r="813" spans="6:6" x14ac:dyDescent="0.25">
      <c r="F813" t="str">
        <f t="shared" si="13"/>
        <v/>
      </c>
    </row>
    <row r="814" spans="6:6" x14ac:dyDescent="0.25">
      <c r="F814" t="str">
        <f t="shared" si="13"/>
        <v/>
      </c>
    </row>
    <row r="815" spans="6:6" x14ac:dyDescent="0.25">
      <c r="F815" t="str">
        <f t="shared" si="13"/>
        <v/>
      </c>
    </row>
    <row r="816" spans="6:6" x14ac:dyDescent="0.25">
      <c r="F816" t="str">
        <f t="shared" si="13"/>
        <v/>
      </c>
    </row>
    <row r="817" spans="6:6" x14ac:dyDescent="0.25">
      <c r="F817" t="str">
        <f t="shared" si="13"/>
        <v/>
      </c>
    </row>
    <row r="818" spans="6:6" x14ac:dyDescent="0.25">
      <c r="F818" t="str">
        <f t="shared" si="13"/>
        <v/>
      </c>
    </row>
    <row r="819" spans="6:6" x14ac:dyDescent="0.25">
      <c r="F819" t="str">
        <f t="shared" si="13"/>
        <v/>
      </c>
    </row>
    <row r="820" spans="6:6" x14ac:dyDescent="0.25">
      <c r="F820" t="str">
        <f t="shared" si="13"/>
        <v/>
      </c>
    </row>
    <row r="821" spans="6:6" x14ac:dyDescent="0.25">
      <c r="F821" t="str">
        <f t="shared" si="13"/>
        <v/>
      </c>
    </row>
    <row r="822" spans="6:6" x14ac:dyDescent="0.25">
      <c r="F822" t="str">
        <f t="shared" si="13"/>
        <v/>
      </c>
    </row>
    <row r="823" spans="6:6" x14ac:dyDescent="0.25">
      <c r="F823" t="str">
        <f t="shared" si="13"/>
        <v/>
      </c>
    </row>
    <row r="824" spans="6:6" x14ac:dyDescent="0.25">
      <c r="F824" t="str">
        <f t="shared" si="13"/>
        <v/>
      </c>
    </row>
    <row r="825" spans="6:6" x14ac:dyDescent="0.25">
      <c r="F825" t="str">
        <f t="shared" si="13"/>
        <v/>
      </c>
    </row>
    <row r="826" spans="6:6" x14ac:dyDescent="0.25">
      <c r="F826" t="str">
        <f t="shared" si="13"/>
        <v/>
      </c>
    </row>
    <row r="827" spans="6:6" x14ac:dyDescent="0.25">
      <c r="F827" t="str">
        <f t="shared" si="13"/>
        <v/>
      </c>
    </row>
    <row r="828" spans="6:6" x14ac:dyDescent="0.25">
      <c r="F828" t="str">
        <f t="shared" si="13"/>
        <v/>
      </c>
    </row>
    <row r="829" spans="6:6" x14ac:dyDescent="0.25">
      <c r="F829" t="str">
        <f t="shared" si="13"/>
        <v/>
      </c>
    </row>
    <row r="830" spans="6:6" x14ac:dyDescent="0.25">
      <c r="F830" t="str">
        <f t="shared" si="13"/>
        <v/>
      </c>
    </row>
    <row r="831" spans="6:6" x14ac:dyDescent="0.25">
      <c r="F831" t="str">
        <f t="shared" si="13"/>
        <v/>
      </c>
    </row>
    <row r="832" spans="6:6" x14ac:dyDescent="0.25">
      <c r="F832" t="str">
        <f t="shared" ref="F832:F895" si="14">IF(A832="","",A832*B832)</f>
        <v/>
      </c>
    </row>
    <row r="833" spans="6:6" x14ac:dyDescent="0.25">
      <c r="F833" t="str">
        <f t="shared" si="14"/>
        <v/>
      </c>
    </row>
    <row r="834" spans="6:6" x14ac:dyDescent="0.25">
      <c r="F834" t="str">
        <f t="shared" si="14"/>
        <v/>
      </c>
    </row>
    <row r="835" spans="6:6" x14ac:dyDescent="0.25">
      <c r="F835" t="str">
        <f t="shared" si="14"/>
        <v/>
      </c>
    </row>
    <row r="836" spans="6:6" x14ac:dyDescent="0.25">
      <c r="F836" t="str">
        <f t="shared" si="14"/>
        <v/>
      </c>
    </row>
    <row r="837" spans="6:6" x14ac:dyDescent="0.25">
      <c r="F837" t="str">
        <f t="shared" si="14"/>
        <v/>
      </c>
    </row>
    <row r="838" spans="6:6" x14ac:dyDescent="0.25">
      <c r="F838" t="str">
        <f t="shared" si="14"/>
        <v/>
      </c>
    </row>
    <row r="839" spans="6:6" x14ac:dyDescent="0.25">
      <c r="F839" t="str">
        <f t="shared" si="14"/>
        <v/>
      </c>
    </row>
    <row r="840" spans="6:6" x14ac:dyDescent="0.25">
      <c r="F840" t="str">
        <f t="shared" si="14"/>
        <v/>
      </c>
    </row>
    <row r="841" spans="6:6" x14ac:dyDescent="0.25">
      <c r="F841" t="str">
        <f t="shared" si="14"/>
        <v/>
      </c>
    </row>
    <row r="842" spans="6:6" x14ac:dyDescent="0.25">
      <c r="F842" t="str">
        <f t="shared" si="14"/>
        <v/>
      </c>
    </row>
    <row r="843" spans="6:6" x14ac:dyDescent="0.25">
      <c r="F843" t="str">
        <f t="shared" si="14"/>
        <v/>
      </c>
    </row>
    <row r="844" spans="6:6" x14ac:dyDescent="0.25">
      <c r="F844" t="str">
        <f t="shared" si="14"/>
        <v/>
      </c>
    </row>
    <row r="845" spans="6:6" x14ac:dyDescent="0.25">
      <c r="F845" t="str">
        <f t="shared" si="14"/>
        <v/>
      </c>
    </row>
    <row r="846" spans="6:6" x14ac:dyDescent="0.25">
      <c r="F846" t="str">
        <f t="shared" si="14"/>
        <v/>
      </c>
    </row>
    <row r="847" spans="6:6" x14ac:dyDescent="0.25">
      <c r="F847" t="str">
        <f t="shared" si="14"/>
        <v/>
      </c>
    </row>
    <row r="848" spans="6:6" x14ac:dyDescent="0.25">
      <c r="F848" t="str">
        <f t="shared" si="14"/>
        <v/>
      </c>
    </row>
    <row r="849" spans="6:6" x14ac:dyDescent="0.25">
      <c r="F849" t="str">
        <f t="shared" si="14"/>
        <v/>
      </c>
    </row>
    <row r="850" spans="6:6" x14ac:dyDescent="0.25">
      <c r="F850" t="str">
        <f t="shared" si="14"/>
        <v/>
      </c>
    </row>
    <row r="851" spans="6:6" x14ac:dyDescent="0.25">
      <c r="F851" t="str">
        <f t="shared" si="14"/>
        <v/>
      </c>
    </row>
    <row r="852" spans="6:6" x14ac:dyDescent="0.25">
      <c r="F852" t="str">
        <f t="shared" si="14"/>
        <v/>
      </c>
    </row>
    <row r="853" spans="6:6" x14ac:dyDescent="0.25">
      <c r="F853" t="str">
        <f t="shared" si="14"/>
        <v/>
      </c>
    </row>
    <row r="854" spans="6:6" x14ac:dyDescent="0.25">
      <c r="F854" t="str">
        <f t="shared" si="14"/>
        <v/>
      </c>
    </row>
    <row r="855" spans="6:6" x14ac:dyDescent="0.25">
      <c r="F855" t="str">
        <f t="shared" si="14"/>
        <v/>
      </c>
    </row>
    <row r="856" spans="6:6" x14ac:dyDescent="0.25">
      <c r="F856" t="str">
        <f t="shared" si="14"/>
        <v/>
      </c>
    </row>
    <row r="857" spans="6:6" x14ac:dyDescent="0.25">
      <c r="F857" t="str">
        <f t="shared" si="14"/>
        <v/>
      </c>
    </row>
    <row r="858" spans="6:6" x14ac:dyDescent="0.25">
      <c r="F858" t="str">
        <f t="shared" si="14"/>
        <v/>
      </c>
    </row>
    <row r="859" spans="6:6" x14ac:dyDescent="0.25">
      <c r="F859" t="str">
        <f t="shared" si="14"/>
        <v/>
      </c>
    </row>
    <row r="860" spans="6:6" x14ac:dyDescent="0.25">
      <c r="F860" t="str">
        <f t="shared" si="14"/>
        <v/>
      </c>
    </row>
    <row r="861" spans="6:6" x14ac:dyDescent="0.25">
      <c r="F861" t="str">
        <f t="shared" si="14"/>
        <v/>
      </c>
    </row>
    <row r="862" spans="6:6" x14ac:dyDescent="0.25">
      <c r="F862" t="str">
        <f t="shared" si="14"/>
        <v/>
      </c>
    </row>
    <row r="863" spans="6:6" x14ac:dyDescent="0.25">
      <c r="F863" t="str">
        <f t="shared" si="14"/>
        <v/>
      </c>
    </row>
    <row r="864" spans="6:6" x14ac:dyDescent="0.25">
      <c r="F864" t="str">
        <f t="shared" si="14"/>
        <v/>
      </c>
    </row>
    <row r="865" spans="6:6" x14ac:dyDescent="0.25">
      <c r="F865" t="str">
        <f t="shared" si="14"/>
        <v/>
      </c>
    </row>
    <row r="866" spans="6:6" x14ac:dyDescent="0.25">
      <c r="F866" t="str">
        <f t="shared" si="14"/>
        <v/>
      </c>
    </row>
    <row r="867" spans="6:6" x14ac:dyDescent="0.25">
      <c r="F867" t="str">
        <f t="shared" si="14"/>
        <v/>
      </c>
    </row>
    <row r="868" spans="6:6" x14ac:dyDescent="0.25">
      <c r="F868" t="str">
        <f t="shared" si="14"/>
        <v/>
      </c>
    </row>
    <row r="869" spans="6:6" x14ac:dyDescent="0.25">
      <c r="F869" t="str">
        <f t="shared" si="14"/>
        <v/>
      </c>
    </row>
    <row r="870" spans="6:6" x14ac:dyDescent="0.25">
      <c r="F870" t="str">
        <f t="shared" si="14"/>
        <v/>
      </c>
    </row>
    <row r="871" spans="6:6" x14ac:dyDescent="0.25">
      <c r="F871" t="str">
        <f t="shared" si="14"/>
        <v/>
      </c>
    </row>
    <row r="872" spans="6:6" x14ac:dyDescent="0.25">
      <c r="F872" t="str">
        <f t="shared" si="14"/>
        <v/>
      </c>
    </row>
    <row r="873" spans="6:6" x14ac:dyDescent="0.25">
      <c r="F873" t="str">
        <f t="shared" si="14"/>
        <v/>
      </c>
    </row>
    <row r="874" spans="6:6" x14ac:dyDescent="0.25">
      <c r="F874" t="str">
        <f t="shared" si="14"/>
        <v/>
      </c>
    </row>
    <row r="875" spans="6:6" x14ac:dyDescent="0.25">
      <c r="F875" t="str">
        <f t="shared" si="14"/>
        <v/>
      </c>
    </row>
    <row r="876" spans="6:6" x14ac:dyDescent="0.25">
      <c r="F876" t="str">
        <f t="shared" si="14"/>
        <v/>
      </c>
    </row>
    <row r="877" spans="6:6" x14ac:dyDescent="0.25">
      <c r="F877" t="str">
        <f t="shared" si="14"/>
        <v/>
      </c>
    </row>
    <row r="878" spans="6:6" x14ac:dyDescent="0.25">
      <c r="F878" t="str">
        <f t="shared" si="14"/>
        <v/>
      </c>
    </row>
    <row r="879" spans="6:6" x14ac:dyDescent="0.25">
      <c r="F879" t="str">
        <f t="shared" si="14"/>
        <v/>
      </c>
    </row>
    <row r="880" spans="6:6" x14ac:dyDescent="0.25">
      <c r="F880" t="str">
        <f t="shared" si="14"/>
        <v/>
      </c>
    </row>
    <row r="881" spans="6:6" x14ac:dyDescent="0.25">
      <c r="F881" t="str">
        <f t="shared" si="14"/>
        <v/>
      </c>
    </row>
    <row r="882" spans="6:6" x14ac:dyDescent="0.25">
      <c r="F882" t="str">
        <f t="shared" si="14"/>
        <v/>
      </c>
    </row>
    <row r="883" spans="6:6" x14ac:dyDescent="0.25">
      <c r="F883" t="str">
        <f t="shared" si="14"/>
        <v/>
      </c>
    </row>
    <row r="884" spans="6:6" x14ac:dyDescent="0.25">
      <c r="F884" t="str">
        <f t="shared" si="14"/>
        <v/>
      </c>
    </row>
    <row r="885" spans="6:6" x14ac:dyDescent="0.25">
      <c r="F885" t="str">
        <f t="shared" si="14"/>
        <v/>
      </c>
    </row>
    <row r="886" spans="6:6" x14ac:dyDescent="0.25">
      <c r="F886" t="str">
        <f t="shared" si="14"/>
        <v/>
      </c>
    </row>
    <row r="887" spans="6:6" x14ac:dyDescent="0.25">
      <c r="F887" t="str">
        <f t="shared" si="14"/>
        <v/>
      </c>
    </row>
    <row r="888" spans="6:6" x14ac:dyDescent="0.25">
      <c r="F888" t="str">
        <f t="shared" si="14"/>
        <v/>
      </c>
    </row>
    <row r="889" spans="6:6" x14ac:dyDescent="0.25">
      <c r="F889" t="str">
        <f t="shared" si="14"/>
        <v/>
      </c>
    </row>
    <row r="890" spans="6:6" x14ac:dyDescent="0.25">
      <c r="F890" t="str">
        <f t="shared" si="14"/>
        <v/>
      </c>
    </row>
    <row r="891" spans="6:6" x14ac:dyDescent="0.25">
      <c r="F891" t="str">
        <f t="shared" si="14"/>
        <v/>
      </c>
    </row>
    <row r="892" spans="6:6" x14ac:dyDescent="0.25">
      <c r="F892" t="str">
        <f t="shared" si="14"/>
        <v/>
      </c>
    </row>
    <row r="893" spans="6:6" x14ac:dyDescent="0.25">
      <c r="F893" t="str">
        <f t="shared" si="14"/>
        <v/>
      </c>
    </row>
    <row r="894" spans="6:6" x14ac:dyDescent="0.25">
      <c r="F894" t="str">
        <f t="shared" si="14"/>
        <v/>
      </c>
    </row>
    <row r="895" spans="6:6" x14ac:dyDescent="0.25">
      <c r="F895" t="str">
        <f t="shared" si="14"/>
        <v/>
      </c>
    </row>
    <row r="896" spans="6:6" x14ac:dyDescent="0.25">
      <c r="F896" t="str">
        <f t="shared" ref="F896:F959" si="15">IF(A896="","",A896*B896)</f>
        <v/>
      </c>
    </row>
    <row r="897" spans="6:6" x14ac:dyDescent="0.25">
      <c r="F897" t="str">
        <f t="shared" si="15"/>
        <v/>
      </c>
    </row>
    <row r="898" spans="6:6" x14ac:dyDescent="0.25">
      <c r="F898" t="str">
        <f t="shared" si="15"/>
        <v/>
      </c>
    </row>
    <row r="899" spans="6:6" x14ac:dyDescent="0.25">
      <c r="F899" t="str">
        <f t="shared" si="15"/>
        <v/>
      </c>
    </row>
    <row r="900" spans="6:6" x14ac:dyDescent="0.25">
      <c r="F900" t="str">
        <f t="shared" si="15"/>
        <v/>
      </c>
    </row>
    <row r="901" spans="6:6" x14ac:dyDescent="0.25">
      <c r="F901" t="str">
        <f t="shared" si="15"/>
        <v/>
      </c>
    </row>
    <row r="902" spans="6:6" x14ac:dyDescent="0.25">
      <c r="F902" t="str">
        <f t="shared" si="15"/>
        <v/>
      </c>
    </row>
    <row r="903" spans="6:6" x14ac:dyDescent="0.25">
      <c r="F903" t="str">
        <f t="shared" si="15"/>
        <v/>
      </c>
    </row>
    <row r="904" spans="6:6" x14ac:dyDescent="0.25">
      <c r="F904" t="str">
        <f t="shared" si="15"/>
        <v/>
      </c>
    </row>
    <row r="905" spans="6:6" x14ac:dyDescent="0.25">
      <c r="F905" t="str">
        <f t="shared" si="15"/>
        <v/>
      </c>
    </row>
    <row r="906" spans="6:6" x14ac:dyDescent="0.25">
      <c r="F906" t="str">
        <f t="shared" si="15"/>
        <v/>
      </c>
    </row>
    <row r="907" spans="6:6" x14ac:dyDescent="0.25">
      <c r="F907" t="str">
        <f t="shared" si="15"/>
        <v/>
      </c>
    </row>
    <row r="908" spans="6:6" x14ac:dyDescent="0.25">
      <c r="F908" t="str">
        <f t="shared" si="15"/>
        <v/>
      </c>
    </row>
    <row r="909" spans="6:6" x14ac:dyDescent="0.25">
      <c r="F909" t="str">
        <f t="shared" si="15"/>
        <v/>
      </c>
    </row>
    <row r="910" spans="6:6" x14ac:dyDescent="0.25">
      <c r="F910" t="str">
        <f t="shared" si="15"/>
        <v/>
      </c>
    </row>
    <row r="911" spans="6:6" x14ac:dyDescent="0.25">
      <c r="F911" t="str">
        <f t="shared" si="15"/>
        <v/>
      </c>
    </row>
    <row r="912" spans="6:6" x14ac:dyDescent="0.25">
      <c r="F912" t="str">
        <f t="shared" si="15"/>
        <v/>
      </c>
    </row>
    <row r="913" spans="6:6" x14ac:dyDescent="0.25">
      <c r="F913" t="str">
        <f t="shared" si="15"/>
        <v/>
      </c>
    </row>
    <row r="914" spans="6:6" x14ac:dyDescent="0.25">
      <c r="F914" t="str">
        <f t="shared" si="15"/>
        <v/>
      </c>
    </row>
    <row r="915" spans="6:6" x14ac:dyDescent="0.25">
      <c r="F915" t="str">
        <f t="shared" si="15"/>
        <v/>
      </c>
    </row>
    <row r="916" spans="6:6" x14ac:dyDescent="0.25">
      <c r="F916" t="str">
        <f t="shared" si="15"/>
        <v/>
      </c>
    </row>
    <row r="917" spans="6:6" x14ac:dyDescent="0.25">
      <c r="F917" t="str">
        <f t="shared" si="15"/>
        <v/>
      </c>
    </row>
    <row r="918" spans="6:6" x14ac:dyDescent="0.25">
      <c r="F918" t="str">
        <f t="shared" si="15"/>
        <v/>
      </c>
    </row>
    <row r="919" spans="6:6" x14ac:dyDescent="0.25">
      <c r="F919" t="str">
        <f t="shared" si="15"/>
        <v/>
      </c>
    </row>
    <row r="920" spans="6:6" x14ac:dyDescent="0.25">
      <c r="F920" t="str">
        <f t="shared" si="15"/>
        <v/>
      </c>
    </row>
    <row r="921" spans="6:6" x14ac:dyDescent="0.25">
      <c r="F921" t="str">
        <f t="shared" si="15"/>
        <v/>
      </c>
    </row>
    <row r="922" spans="6:6" x14ac:dyDescent="0.25">
      <c r="F922" t="str">
        <f t="shared" si="15"/>
        <v/>
      </c>
    </row>
    <row r="923" spans="6:6" x14ac:dyDescent="0.25">
      <c r="F923" t="str">
        <f t="shared" si="15"/>
        <v/>
      </c>
    </row>
    <row r="924" spans="6:6" x14ac:dyDescent="0.25">
      <c r="F924" t="str">
        <f t="shared" si="15"/>
        <v/>
      </c>
    </row>
    <row r="925" spans="6:6" x14ac:dyDescent="0.25">
      <c r="F925" t="str">
        <f t="shared" si="15"/>
        <v/>
      </c>
    </row>
    <row r="926" spans="6:6" x14ac:dyDescent="0.25">
      <c r="F926" t="str">
        <f t="shared" si="15"/>
        <v/>
      </c>
    </row>
    <row r="927" spans="6:6" x14ac:dyDescent="0.25">
      <c r="F927" t="str">
        <f t="shared" si="15"/>
        <v/>
      </c>
    </row>
    <row r="928" spans="6:6" x14ac:dyDescent="0.25">
      <c r="F928" t="str">
        <f t="shared" si="15"/>
        <v/>
      </c>
    </row>
    <row r="929" spans="6:6" x14ac:dyDescent="0.25">
      <c r="F929" t="str">
        <f t="shared" si="15"/>
        <v/>
      </c>
    </row>
    <row r="930" spans="6:6" x14ac:dyDescent="0.25">
      <c r="F930" t="str">
        <f t="shared" si="15"/>
        <v/>
      </c>
    </row>
    <row r="931" spans="6:6" x14ac:dyDescent="0.25">
      <c r="F931" t="str">
        <f t="shared" si="15"/>
        <v/>
      </c>
    </row>
    <row r="932" spans="6:6" x14ac:dyDescent="0.25">
      <c r="F932" t="str">
        <f t="shared" si="15"/>
        <v/>
      </c>
    </row>
    <row r="933" spans="6:6" x14ac:dyDescent="0.25">
      <c r="F933" t="str">
        <f t="shared" si="15"/>
        <v/>
      </c>
    </row>
    <row r="934" spans="6:6" x14ac:dyDescent="0.25">
      <c r="F934" t="str">
        <f t="shared" si="15"/>
        <v/>
      </c>
    </row>
    <row r="935" spans="6:6" x14ac:dyDescent="0.25">
      <c r="F935" t="str">
        <f t="shared" si="15"/>
        <v/>
      </c>
    </row>
    <row r="936" spans="6:6" x14ac:dyDescent="0.25">
      <c r="F936" t="str">
        <f t="shared" si="15"/>
        <v/>
      </c>
    </row>
    <row r="937" spans="6:6" x14ac:dyDescent="0.25">
      <c r="F937" t="str">
        <f t="shared" si="15"/>
        <v/>
      </c>
    </row>
    <row r="938" spans="6:6" x14ac:dyDescent="0.25">
      <c r="F938" t="str">
        <f t="shared" si="15"/>
        <v/>
      </c>
    </row>
    <row r="939" spans="6:6" x14ac:dyDescent="0.25">
      <c r="F939" t="str">
        <f t="shared" si="15"/>
        <v/>
      </c>
    </row>
    <row r="940" spans="6:6" x14ac:dyDescent="0.25">
      <c r="F940" t="str">
        <f t="shared" si="15"/>
        <v/>
      </c>
    </row>
    <row r="941" spans="6:6" x14ac:dyDescent="0.25">
      <c r="F941" t="str">
        <f t="shared" si="15"/>
        <v/>
      </c>
    </row>
    <row r="942" spans="6:6" x14ac:dyDescent="0.25">
      <c r="F942" t="str">
        <f t="shared" si="15"/>
        <v/>
      </c>
    </row>
    <row r="943" spans="6:6" x14ac:dyDescent="0.25">
      <c r="F943" t="str">
        <f t="shared" si="15"/>
        <v/>
      </c>
    </row>
    <row r="944" spans="6:6" x14ac:dyDescent="0.25">
      <c r="F944" t="str">
        <f t="shared" si="15"/>
        <v/>
      </c>
    </row>
    <row r="945" spans="6:6" x14ac:dyDescent="0.25">
      <c r="F945" t="str">
        <f t="shared" si="15"/>
        <v/>
      </c>
    </row>
    <row r="946" spans="6:6" x14ac:dyDescent="0.25">
      <c r="F946" t="str">
        <f t="shared" si="15"/>
        <v/>
      </c>
    </row>
    <row r="947" spans="6:6" x14ac:dyDescent="0.25">
      <c r="F947" t="str">
        <f t="shared" si="15"/>
        <v/>
      </c>
    </row>
    <row r="948" spans="6:6" x14ac:dyDescent="0.25">
      <c r="F948" t="str">
        <f t="shared" si="15"/>
        <v/>
      </c>
    </row>
    <row r="949" spans="6:6" x14ac:dyDescent="0.25">
      <c r="F949" t="str">
        <f t="shared" si="15"/>
        <v/>
      </c>
    </row>
    <row r="950" spans="6:6" x14ac:dyDescent="0.25">
      <c r="F950" t="str">
        <f t="shared" si="15"/>
        <v/>
      </c>
    </row>
    <row r="951" spans="6:6" x14ac:dyDescent="0.25">
      <c r="F951" t="str">
        <f t="shared" si="15"/>
        <v/>
      </c>
    </row>
    <row r="952" spans="6:6" x14ac:dyDescent="0.25">
      <c r="F952" t="str">
        <f t="shared" si="15"/>
        <v/>
      </c>
    </row>
    <row r="953" spans="6:6" x14ac:dyDescent="0.25">
      <c r="F953" t="str">
        <f t="shared" si="15"/>
        <v/>
      </c>
    </row>
    <row r="954" spans="6:6" x14ac:dyDescent="0.25">
      <c r="F954" t="str">
        <f t="shared" si="15"/>
        <v/>
      </c>
    </row>
    <row r="955" spans="6:6" x14ac:dyDescent="0.25">
      <c r="F955" t="str">
        <f t="shared" si="15"/>
        <v/>
      </c>
    </row>
    <row r="956" spans="6:6" x14ac:dyDescent="0.25">
      <c r="F956" t="str">
        <f t="shared" si="15"/>
        <v/>
      </c>
    </row>
    <row r="957" spans="6:6" x14ac:dyDescent="0.25">
      <c r="F957" t="str">
        <f t="shared" si="15"/>
        <v/>
      </c>
    </row>
    <row r="958" spans="6:6" x14ac:dyDescent="0.25">
      <c r="F958" t="str">
        <f t="shared" si="15"/>
        <v/>
      </c>
    </row>
    <row r="959" spans="6:6" x14ac:dyDescent="0.25">
      <c r="F959" t="str">
        <f t="shared" si="15"/>
        <v/>
      </c>
    </row>
    <row r="960" spans="6:6" x14ac:dyDescent="0.25">
      <c r="F960" t="str">
        <f t="shared" ref="F960:F993" si="16">IF(A960="","",A960*B960)</f>
        <v/>
      </c>
    </row>
    <row r="961" spans="6:6" x14ac:dyDescent="0.25">
      <c r="F961" t="str">
        <f t="shared" si="16"/>
        <v/>
      </c>
    </row>
    <row r="962" spans="6:6" x14ac:dyDescent="0.25">
      <c r="F962" t="str">
        <f t="shared" si="16"/>
        <v/>
      </c>
    </row>
    <row r="963" spans="6:6" x14ac:dyDescent="0.25">
      <c r="F963" t="str">
        <f t="shared" si="16"/>
        <v/>
      </c>
    </row>
    <row r="964" spans="6:6" x14ac:dyDescent="0.25">
      <c r="F964" t="str">
        <f t="shared" si="16"/>
        <v/>
      </c>
    </row>
    <row r="965" spans="6:6" x14ac:dyDescent="0.25">
      <c r="F965" t="str">
        <f t="shared" si="16"/>
        <v/>
      </c>
    </row>
    <row r="966" spans="6:6" x14ac:dyDescent="0.25">
      <c r="F966" t="str">
        <f t="shared" si="16"/>
        <v/>
      </c>
    </row>
    <row r="967" spans="6:6" x14ac:dyDescent="0.25">
      <c r="F967" t="str">
        <f t="shared" si="16"/>
        <v/>
      </c>
    </row>
    <row r="968" spans="6:6" x14ac:dyDescent="0.25">
      <c r="F968" t="str">
        <f t="shared" si="16"/>
        <v/>
      </c>
    </row>
    <row r="969" spans="6:6" x14ac:dyDescent="0.25">
      <c r="F969" t="str">
        <f t="shared" si="16"/>
        <v/>
      </c>
    </row>
    <row r="970" spans="6:6" x14ac:dyDescent="0.25">
      <c r="F970" t="str">
        <f t="shared" si="16"/>
        <v/>
      </c>
    </row>
    <row r="971" spans="6:6" x14ac:dyDescent="0.25">
      <c r="F971" t="str">
        <f t="shared" si="16"/>
        <v/>
      </c>
    </row>
    <row r="972" spans="6:6" x14ac:dyDescent="0.25">
      <c r="F972" t="str">
        <f t="shared" si="16"/>
        <v/>
      </c>
    </row>
    <row r="973" spans="6:6" x14ac:dyDescent="0.25">
      <c r="F973" t="str">
        <f t="shared" si="16"/>
        <v/>
      </c>
    </row>
    <row r="974" spans="6:6" x14ac:dyDescent="0.25">
      <c r="F974" t="str">
        <f t="shared" si="16"/>
        <v/>
      </c>
    </row>
    <row r="975" spans="6:6" x14ac:dyDescent="0.25">
      <c r="F975" t="str">
        <f t="shared" si="16"/>
        <v/>
      </c>
    </row>
    <row r="976" spans="6:6" x14ac:dyDescent="0.25">
      <c r="F976" t="str">
        <f t="shared" si="16"/>
        <v/>
      </c>
    </row>
    <row r="977" spans="6:6" x14ac:dyDescent="0.25">
      <c r="F977" t="str">
        <f t="shared" si="16"/>
        <v/>
      </c>
    </row>
    <row r="978" spans="6:6" x14ac:dyDescent="0.25">
      <c r="F978" t="str">
        <f t="shared" si="16"/>
        <v/>
      </c>
    </row>
    <row r="979" spans="6:6" x14ac:dyDescent="0.25">
      <c r="F979" t="str">
        <f t="shared" si="16"/>
        <v/>
      </c>
    </row>
    <row r="980" spans="6:6" x14ac:dyDescent="0.25">
      <c r="F980" t="str">
        <f t="shared" si="16"/>
        <v/>
      </c>
    </row>
    <row r="981" spans="6:6" x14ac:dyDescent="0.25">
      <c r="F981" t="str">
        <f t="shared" si="16"/>
        <v/>
      </c>
    </row>
    <row r="982" spans="6:6" x14ac:dyDescent="0.25">
      <c r="F982" t="str">
        <f t="shared" si="16"/>
        <v/>
      </c>
    </row>
    <row r="983" spans="6:6" x14ac:dyDescent="0.25">
      <c r="F983" t="str">
        <f t="shared" si="16"/>
        <v/>
      </c>
    </row>
    <row r="984" spans="6:6" x14ac:dyDescent="0.25">
      <c r="F984" t="str">
        <f t="shared" si="16"/>
        <v/>
      </c>
    </row>
    <row r="985" spans="6:6" x14ac:dyDescent="0.25">
      <c r="F985" t="str">
        <f t="shared" si="16"/>
        <v/>
      </c>
    </row>
    <row r="986" spans="6:6" x14ac:dyDescent="0.25">
      <c r="F986" t="str">
        <f t="shared" si="16"/>
        <v/>
      </c>
    </row>
    <row r="987" spans="6:6" x14ac:dyDescent="0.25">
      <c r="F987" t="str">
        <f t="shared" si="16"/>
        <v/>
      </c>
    </row>
    <row r="988" spans="6:6" x14ac:dyDescent="0.25">
      <c r="F988" t="str">
        <f t="shared" si="16"/>
        <v/>
      </c>
    </row>
    <row r="989" spans="6:6" x14ac:dyDescent="0.25">
      <c r="F989" t="str">
        <f t="shared" si="16"/>
        <v/>
      </c>
    </row>
    <row r="990" spans="6:6" x14ac:dyDescent="0.25">
      <c r="F990" t="str">
        <f t="shared" si="16"/>
        <v/>
      </c>
    </row>
    <row r="991" spans="6:6" x14ac:dyDescent="0.25">
      <c r="F991" t="str">
        <f t="shared" si="16"/>
        <v/>
      </c>
    </row>
    <row r="992" spans="6:6" x14ac:dyDescent="0.25">
      <c r="F992" t="str">
        <f t="shared" si="16"/>
        <v/>
      </c>
    </row>
    <row r="993" spans="6:6" x14ac:dyDescent="0.25">
      <c r="F993" t="str">
        <f t="shared" si="16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BJ1055"/>
  <sheetViews>
    <sheetView zoomScale="85" zoomScaleNormal="85" workbookViewId="0">
      <selection activeCell="G8" sqref="G8"/>
    </sheetView>
  </sheetViews>
  <sheetFormatPr baseColWidth="10" defaultRowHeight="15" x14ac:dyDescent="0.25"/>
  <cols>
    <col min="1" max="1" width="17" customWidth="1"/>
    <col min="2" max="2" width="47.7109375" customWidth="1"/>
    <col min="3" max="3" width="15.7109375" customWidth="1"/>
    <col min="4" max="4" width="20.5703125" customWidth="1"/>
    <col min="5" max="5" width="8.7109375" customWidth="1"/>
    <col min="6" max="6" width="8.5703125" customWidth="1"/>
    <col min="7" max="7" width="12.140625" style="7" customWidth="1"/>
  </cols>
  <sheetData>
    <row r="1" spans="1:62" x14ac:dyDescent="0.25">
      <c r="G1" s="7">
        <v>0</v>
      </c>
    </row>
    <row r="2" spans="1:62" x14ac:dyDescent="0.25">
      <c r="A2" s="13" t="s">
        <v>1316</v>
      </c>
    </row>
    <row r="3" spans="1:62" x14ac:dyDescent="0.25">
      <c r="A3" s="13">
        <f>COUNTA(A8:A20703)+1</f>
        <v>864</v>
      </c>
    </row>
    <row r="4" spans="1:62" x14ac:dyDescent="0.25">
      <c r="A4" s="14" t="str">
        <f>CONCATENATE(A2,A3)</f>
        <v>FCV-864</v>
      </c>
    </row>
    <row r="5" spans="1:62" x14ac:dyDescent="0.25">
      <c r="G5" s="7">
        <v>0</v>
      </c>
    </row>
    <row r="6" spans="1:62" x14ac:dyDescent="0.25">
      <c r="A6">
        <f>COUNTA(A8:A20703)+8</f>
        <v>871</v>
      </c>
      <c r="D6">
        <f>SUM(D8:D21110)</f>
        <v>12031.090000000002</v>
      </c>
    </row>
    <row r="7" spans="1:62" ht="45" x14ac:dyDescent="0.25">
      <c r="A7" t="s">
        <v>616</v>
      </c>
      <c r="B7" t="s">
        <v>2</v>
      </c>
      <c r="C7" t="s">
        <v>155</v>
      </c>
      <c r="D7" t="s">
        <v>156</v>
      </c>
      <c r="E7" s="5" t="s">
        <v>618</v>
      </c>
      <c r="F7" s="5" t="s">
        <v>617</v>
      </c>
      <c r="G7" s="6" t="s">
        <v>1</v>
      </c>
      <c r="H7" t="s">
        <v>619</v>
      </c>
      <c r="I7" s="5" t="s">
        <v>1318</v>
      </c>
      <c r="J7" s="5" t="s">
        <v>1373</v>
      </c>
      <c r="BA7" s="8" t="s">
        <v>616</v>
      </c>
      <c r="BB7" s="9" t="s">
        <v>2</v>
      </c>
      <c r="BC7" s="9" t="s">
        <v>155</v>
      </c>
      <c r="BD7" s="9" t="s">
        <v>156</v>
      </c>
      <c r="BE7" s="10" t="s">
        <v>618</v>
      </c>
      <c r="BF7" s="10" t="s">
        <v>617</v>
      </c>
      <c r="BG7" s="11" t="s">
        <v>1</v>
      </c>
      <c r="BH7" s="12" t="s">
        <v>619</v>
      </c>
      <c r="BI7" s="12" t="s">
        <v>1361</v>
      </c>
      <c r="BJ7" s="12" t="s">
        <v>1373</v>
      </c>
    </row>
    <row r="8" spans="1:62" x14ac:dyDescent="0.25">
      <c r="A8" t="s">
        <v>620</v>
      </c>
      <c r="B8" s="71" t="s">
        <v>1752</v>
      </c>
      <c r="C8" s="72">
        <v>0.25</v>
      </c>
      <c r="D8" s="72">
        <f>PRODUCTOS[[#This Row],[V/U VENTA]]*PRODUCTOS[[#This Row],[CANTIDAD]]</f>
        <v>2.25</v>
      </c>
      <c r="E8">
        <v>5</v>
      </c>
      <c r="F8">
        <v>10</v>
      </c>
      <c r="G8" s="72">
        <v>9</v>
      </c>
      <c r="H8">
        <v>1</v>
      </c>
      <c r="I8" t="s">
        <v>1319</v>
      </c>
      <c r="J8" s="72">
        <v>0</v>
      </c>
      <c r="BA8" t="s">
        <v>1814</v>
      </c>
      <c r="BB8" t="s">
        <v>1815</v>
      </c>
      <c r="BC8">
        <v>44</v>
      </c>
      <c r="BE8">
        <v>2</v>
      </c>
      <c r="BF8">
        <v>10</v>
      </c>
      <c r="BG8">
        <v>4</v>
      </c>
      <c r="BH8">
        <v>1</v>
      </c>
      <c r="BI8" t="s">
        <v>1320</v>
      </c>
      <c r="BJ8">
        <v>1</v>
      </c>
    </row>
    <row r="9" spans="1:62" x14ac:dyDescent="0.25">
      <c r="A9" t="s">
        <v>621</v>
      </c>
      <c r="B9" s="71" t="s">
        <v>1377</v>
      </c>
      <c r="C9" s="73">
        <v>1.25</v>
      </c>
      <c r="D9" s="72">
        <f>PRODUCTOS[[#This Row],[V/U VENTA]]*PRODUCTOS[[#This Row],[CANTIDAD]]</f>
        <v>2.5</v>
      </c>
      <c r="E9">
        <v>5</v>
      </c>
      <c r="F9">
        <v>10</v>
      </c>
      <c r="G9" s="72">
        <v>2</v>
      </c>
      <c r="H9">
        <v>1</v>
      </c>
      <c r="I9" t="s">
        <v>1320</v>
      </c>
      <c r="J9" s="72">
        <v>0</v>
      </c>
    </row>
    <row r="10" spans="1:62" x14ac:dyDescent="0.25">
      <c r="A10" t="s">
        <v>622</v>
      </c>
      <c r="B10" s="71" t="s">
        <v>1378</v>
      </c>
      <c r="C10" s="73">
        <v>3.1</v>
      </c>
      <c r="D10" s="72">
        <f>PRODUCTOS[[#This Row],[V/U VENTA]]*PRODUCTOS[[#This Row],[CANTIDAD]]</f>
        <v>3.1</v>
      </c>
      <c r="E10">
        <v>5</v>
      </c>
      <c r="F10">
        <v>10</v>
      </c>
      <c r="G10" s="72">
        <v>1</v>
      </c>
      <c r="H10">
        <v>1</v>
      </c>
      <c r="I10" t="s">
        <v>1320</v>
      </c>
      <c r="J10" s="72">
        <v>0</v>
      </c>
    </row>
    <row r="11" spans="1:62" x14ac:dyDescent="0.25">
      <c r="A11" t="s">
        <v>623</v>
      </c>
      <c r="B11" s="1" t="s">
        <v>1379</v>
      </c>
      <c r="C11">
        <v>1.6</v>
      </c>
      <c r="D11" s="72">
        <f>PRODUCTOS[[#This Row],[V/U VENTA]]*PRODUCTOS[[#This Row],[CANTIDAD]]</f>
        <v>3.2</v>
      </c>
      <c r="E11">
        <v>5</v>
      </c>
      <c r="F11">
        <v>10</v>
      </c>
      <c r="G11">
        <v>2</v>
      </c>
      <c r="H11">
        <v>1</v>
      </c>
      <c r="I11" t="s">
        <v>1320</v>
      </c>
      <c r="J11" s="72">
        <v>0</v>
      </c>
    </row>
    <row r="12" spans="1:62" x14ac:dyDescent="0.25">
      <c r="A12" t="s">
        <v>624</v>
      </c>
      <c r="B12" s="1" t="s">
        <v>269</v>
      </c>
      <c r="C12">
        <v>0.18</v>
      </c>
      <c r="D12" s="72">
        <f>PRODUCTOS[[#This Row],[V/U VENTA]]*PRODUCTOS[[#This Row],[CANTIDAD]]</f>
        <v>12.6</v>
      </c>
      <c r="E12">
        <v>5</v>
      </c>
      <c r="F12">
        <v>10</v>
      </c>
      <c r="G12">
        <v>70</v>
      </c>
      <c r="H12">
        <v>1</v>
      </c>
      <c r="I12" t="s">
        <v>1320</v>
      </c>
      <c r="J12" s="72">
        <v>0</v>
      </c>
    </row>
    <row r="13" spans="1:62" x14ac:dyDescent="0.25">
      <c r="A13" t="s">
        <v>625</v>
      </c>
      <c r="B13" s="1" t="s">
        <v>1380</v>
      </c>
      <c r="C13">
        <v>0.65</v>
      </c>
      <c r="D13" s="72">
        <f>PRODUCTOS[[#This Row],[V/U VENTA]]*PRODUCTOS[[#This Row],[CANTIDAD]]</f>
        <v>0</v>
      </c>
      <c r="E13">
        <v>5</v>
      </c>
      <c r="F13">
        <v>10</v>
      </c>
      <c r="G13">
        <v>0</v>
      </c>
      <c r="H13">
        <v>1</v>
      </c>
      <c r="I13" t="s">
        <v>1320</v>
      </c>
      <c r="J13" s="72">
        <v>0</v>
      </c>
    </row>
    <row r="14" spans="1:62" x14ac:dyDescent="0.25">
      <c r="A14" t="s">
        <v>626</v>
      </c>
      <c r="B14" s="1" t="s">
        <v>1381</v>
      </c>
      <c r="C14">
        <v>8</v>
      </c>
      <c r="D14" s="72">
        <f>PRODUCTOS[[#This Row],[V/U VENTA]]*PRODUCTOS[[#This Row],[CANTIDAD]]</f>
        <v>0</v>
      </c>
      <c r="E14">
        <v>5</v>
      </c>
      <c r="F14">
        <v>20</v>
      </c>
      <c r="G14">
        <v>0</v>
      </c>
      <c r="H14">
        <v>1</v>
      </c>
      <c r="I14" t="s">
        <v>1320</v>
      </c>
      <c r="J14" s="72">
        <v>0</v>
      </c>
    </row>
    <row r="15" spans="1:62" x14ac:dyDescent="0.25">
      <c r="A15" t="s">
        <v>627</v>
      </c>
      <c r="B15" s="1" t="s">
        <v>484</v>
      </c>
      <c r="C15">
        <v>1.65</v>
      </c>
      <c r="D15" s="72">
        <f>PRODUCTOS[[#This Row],[V/U VENTA]]*PRODUCTOS[[#This Row],[CANTIDAD]]</f>
        <v>0</v>
      </c>
      <c r="E15">
        <v>5</v>
      </c>
      <c r="F15">
        <v>10</v>
      </c>
      <c r="G15">
        <v>0</v>
      </c>
      <c r="H15">
        <v>1</v>
      </c>
      <c r="I15" t="s">
        <v>1320</v>
      </c>
      <c r="J15" s="72">
        <v>0</v>
      </c>
    </row>
    <row r="16" spans="1:62" x14ac:dyDescent="0.25">
      <c r="A16" t="s">
        <v>628</v>
      </c>
      <c r="B16" s="1" t="s">
        <v>483</v>
      </c>
      <c r="C16">
        <v>1</v>
      </c>
      <c r="D16" s="72">
        <f>PRODUCTOS[[#This Row],[V/U VENTA]]*PRODUCTOS[[#This Row],[CANTIDAD]]</f>
        <v>0</v>
      </c>
      <c r="E16">
        <v>4</v>
      </c>
      <c r="F16">
        <v>20</v>
      </c>
      <c r="G16">
        <v>0</v>
      </c>
      <c r="H16">
        <v>1</v>
      </c>
      <c r="I16" t="s">
        <v>1320</v>
      </c>
      <c r="J16" s="72">
        <v>0</v>
      </c>
    </row>
    <row r="17" spans="1:10" x14ac:dyDescent="0.25">
      <c r="A17" t="s">
        <v>629</v>
      </c>
      <c r="B17" s="1" t="s">
        <v>485</v>
      </c>
      <c r="C17">
        <v>1.65</v>
      </c>
      <c r="D17" s="72">
        <f>PRODUCTOS[[#This Row],[V/U VENTA]]*PRODUCTOS[[#This Row],[CANTIDAD]]</f>
        <v>0</v>
      </c>
      <c r="E17">
        <v>5</v>
      </c>
      <c r="F17">
        <v>10</v>
      </c>
      <c r="G17">
        <v>0</v>
      </c>
      <c r="H17">
        <v>1</v>
      </c>
      <c r="I17" t="s">
        <v>1320</v>
      </c>
      <c r="J17" s="72">
        <v>0</v>
      </c>
    </row>
    <row r="18" spans="1:10" x14ac:dyDescent="0.25">
      <c r="A18" t="s">
        <v>630</v>
      </c>
      <c r="B18" s="1" t="s">
        <v>314</v>
      </c>
      <c r="C18">
        <v>0.25</v>
      </c>
      <c r="D18" s="72">
        <f>PRODUCTOS[[#This Row],[V/U VENTA]]*PRODUCTOS[[#This Row],[CANTIDAD]]</f>
        <v>5.5</v>
      </c>
      <c r="E18">
        <v>5</v>
      </c>
      <c r="F18">
        <v>10</v>
      </c>
      <c r="G18">
        <v>22</v>
      </c>
      <c r="H18">
        <v>1</v>
      </c>
      <c r="I18" t="s">
        <v>1320</v>
      </c>
      <c r="J18" s="72">
        <v>0</v>
      </c>
    </row>
    <row r="19" spans="1:10" x14ac:dyDescent="0.25">
      <c r="A19" t="s">
        <v>631</v>
      </c>
      <c r="B19" s="1" t="s">
        <v>1382</v>
      </c>
      <c r="C19">
        <v>0.6</v>
      </c>
      <c r="D19" s="72">
        <f>PRODUCTOS[[#This Row],[V/U VENTA]]*PRODUCTOS[[#This Row],[CANTIDAD]]</f>
        <v>16.2</v>
      </c>
      <c r="E19">
        <v>5</v>
      </c>
      <c r="F19">
        <v>10</v>
      </c>
      <c r="G19">
        <v>27</v>
      </c>
      <c r="H19">
        <v>1</v>
      </c>
      <c r="I19" t="s">
        <v>1320</v>
      </c>
      <c r="J19" s="72">
        <v>0</v>
      </c>
    </row>
    <row r="20" spans="1:10" x14ac:dyDescent="0.25">
      <c r="A20" t="s">
        <v>632</v>
      </c>
      <c r="B20" s="1" t="s">
        <v>316</v>
      </c>
      <c r="C20">
        <v>1.5</v>
      </c>
      <c r="D20" s="72">
        <f>PRODUCTOS[[#This Row],[V/U VENTA]]*PRODUCTOS[[#This Row],[CANTIDAD]]</f>
        <v>4.5</v>
      </c>
      <c r="E20">
        <v>5</v>
      </c>
      <c r="F20">
        <v>10</v>
      </c>
      <c r="G20">
        <v>3</v>
      </c>
      <c r="H20">
        <v>1</v>
      </c>
      <c r="I20" t="s">
        <v>1320</v>
      </c>
      <c r="J20" s="72">
        <v>0</v>
      </c>
    </row>
    <row r="21" spans="1:10" x14ac:dyDescent="0.25">
      <c r="A21" t="s">
        <v>633</v>
      </c>
      <c r="B21" s="1" t="s">
        <v>315</v>
      </c>
      <c r="C21">
        <v>4.25</v>
      </c>
      <c r="D21" s="72">
        <f>PRODUCTOS[[#This Row],[V/U VENTA]]*PRODUCTOS[[#This Row],[CANTIDAD]]</f>
        <v>12.75</v>
      </c>
      <c r="E21">
        <v>5</v>
      </c>
      <c r="F21">
        <v>10</v>
      </c>
      <c r="G21">
        <v>3</v>
      </c>
      <c r="H21">
        <v>1</v>
      </c>
      <c r="I21" t="s">
        <v>1320</v>
      </c>
      <c r="J21" s="72">
        <v>0</v>
      </c>
    </row>
    <row r="22" spans="1:10" x14ac:dyDescent="0.25">
      <c r="A22" t="s">
        <v>634</v>
      </c>
      <c r="B22" s="1" t="s">
        <v>365</v>
      </c>
      <c r="C22">
        <v>11</v>
      </c>
      <c r="D22" s="72">
        <f>PRODUCTOS[[#This Row],[V/U VENTA]]*PRODUCTOS[[#This Row],[CANTIDAD]]</f>
        <v>11</v>
      </c>
      <c r="E22">
        <v>5</v>
      </c>
      <c r="F22">
        <v>10</v>
      </c>
      <c r="G22">
        <v>1</v>
      </c>
      <c r="H22">
        <v>1</v>
      </c>
      <c r="I22" t="s">
        <v>1319</v>
      </c>
      <c r="J22" s="72">
        <v>0</v>
      </c>
    </row>
    <row r="23" spans="1:10" x14ac:dyDescent="0.25">
      <c r="A23" t="s">
        <v>635</v>
      </c>
      <c r="B23" s="1" t="s">
        <v>1753</v>
      </c>
      <c r="C23">
        <v>2</v>
      </c>
      <c r="D23" s="72">
        <f>PRODUCTOS[[#This Row],[V/U VENTA]]*PRODUCTOS[[#This Row],[CANTIDAD]]</f>
        <v>0</v>
      </c>
      <c r="E23">
        <v>5</v>
      </c>
      <c r="F23">
        <v>10</v>
      </c>
      <c r="G23">
        <v>0</v>
      </c>
      <c r="H23">
        <v>1</v>
      </c>
      <c r="I23" t="s">
        <v>1319</v>
      </c>
      <c r="J23" s="72">
        <v>0</v>
      </c>
    </row>
    <row r="24" spans="1:10" x14ac:dyDescent="0.25">
      <c r="A24" t="s">
        <v>636</v>
      </c>
      <c r="B24" s="1" t="s">
        <v>281</v>
      </c>
      <c r="C24">
        <v>7.8</v>
      </c>
      <c r="D24" s="72">
        <f>PRODUCTOS[[#This Row],[V/U VENTA]]*PRODUCTOS[[#This Row],[CANTIDAD]]</f>
        <v>0</v>
      </c>
      <c r="E24">
        <v>5</v>
      </c>
      <c r="F24">
        <v>10</v>
      </c>
      <c r="G24">
        <v>0</v>
      </c>
      <c r="H24">
        <v>1</v>
      </c>
      <c r="I24" t="s">
        <v>1320</v>
      </c>
      <c r="J24" s="72">
        <v>0</v>
      </c>
    </row>
    <row r="25" spans="1:10" x14ac:dyDescent="0.25">
      <c r="A25" t="s">
        <v>637</v>
      </c>
      <c r="B25" s="1" t="s">
        <v>286</v>
      </c>
      <c r="C25">
        <v>0.4</v>
      </c>
      <c r="D25" s="72">
        <f>PRODUCTOS[[#This Row],[V/U VENTA]]*PRODUCTOS[[#This Row],[CANTIDAD]]</f>
        <v>0</v>
      </c>
      <c r="E25">
        <v>5</v>
      </c>
      <c r="F25">
        <v>10</v>
      </c>
      <c r="G25">
        <v>0</v>
      </c>
      <c r="H25">
        <v>1</v>
      </c>
      <c r="I25" t="s">
        <v>1320</v>
      </c>
      <c r="J25" s="72">
        <v>0</v>
      </c>
    </row>
    <row r="26" spans="1:10" x14ac:dyDescent="0.25">
      <c r="A26" t="s">
        <v>638</v>
      </c>
      <c r="B26" s="1" t="s">
        <v>124</v>
      </c>
      <c r="C26">
        <v>1.25</v>
      </c>
      <c r="D26" s="72">
        <f>PRODUCTOS[[#This Row],[V/U VENTA]]*PRODUCTOS[[#This Row],[CANTIDAD]]</f>
        <v>6.25</v>
      </c>
      <c r="E26">
        <v>5</v>
      </c>
      <c r="F26">
        <v>10</v>
      </c>
      <c r="G26">
        <v>5</v>
      </c>
      <c r="H26">
        <v>1</v>
      </c>
      <c r="I26" t="s">
        <v>1319</v>
      </c>
      <c r="J26" s="72">
        <v>0</v>
      </c>
    </row>
    <row r="27" spans="1:10" x14ac:dyDescent="0.25">
      <c r="A27" t="s">
        <v>639</v>
      </c>
      <c r="B27" s="1" t="s">
        <v>1383</v>
      </c>
      <c r="C27">
        <v>3.5</v>
      </c>
      <c r="D27" s="72">
        <f>PRODUCTOS[[#This Row],[V/U VENTA]]*PRODUCTOS[[#This Row],[CANTIDAD]]</f>
        <v>3.5</v>
      </c>
      <c r="E27">
        <v>5</v>
      </c>
      <c r="F27">
        <v>10</v>
      </c>
      <c r="G27">
        <v>1</v>
      </c>
      <c r="H27">
        <v>1</v>
      </c>
      <c r="I27" t="s">
        <v>1319</v>
      </c>
      <c r="J27" s="72">
        <v>0</v>
      </c>
    </row>
    <row r="28" spans="1:10" x14ac:dyDescent="0.25">
      <c r="A28" t="s">
        <v>640</v>
      </c>
      <c r="B28" s="1" t="s">
        <v>1384</v>
      </c>
      <c r="C28">
        <v>4.5</v>
      </c>
      <c r="D28" s="72">
        <f>PRODUCTOS[[#This Row],[V/U VENTA]]*PRODUCTOS[[#This Row],[CANTIDAD]]</f>
        <v>4.5</v>
      </c>
      <c r="E28">
        <v>5</v>
      </c>
      <c r="F28">
        <v>10</v>
      </c>
      <c r="G28">
        <v>1</v>
      </c>
      <c r="H28">
        <v>1</v>
      </c>
      <c r="I28" t="s">
        <v>1319</v>
      </c>
      <c r="J28" s="72">
        <v>0</v>
      </c>
    </row>
    <row r="29" spans="1:10" x14ac:dyDescent="0.25">
      <c r="A29" t="s">
        <v>641</v>
      </c>
      <c r="B29" s="1" t="s">
        <v>123</v>
      </c>
      <c r="C29">
        <v>0.36</v>
      </c>
      <c r="D29" s="72">
        <f>PRODUCTOS[[#This Row],[V/U VENTA]]*PRODUCTOS[[#This Row],[CANTIDAD]]</f>
        <v>6.84</v>
      </c>
      <c r="E29">
        <v>5</v>
      </c>
      <c r="F29">
        <v>10</v>
      </c>
      <c r="G29">
        <v>19</v>
      </c>
      <c r="H29">
        <v>1</v>
      </c>
      <c r="I29" t="s">
        <v>1320</v>
      </c>
      <c r="J29" s="72">
        <v>0</v>
      </c>
    </row>
    <row r="30" spans="1:10" x14ac:dyDescent="0.25">
      <c r="A30" t="s">
        <v>642</v>
      </c>
      <c r="B30" s="1" t="s">
        <v>205</v>
      </c>
      <c r="C30">
        <v>13.8</v>
      </c>
      <c r="D30" s="72">
        <f>PRODUCTOS[[#This Row],[V/U VENTA]]*PRODUCTOS[[#This Row],[CANTIDAD]]</f>
        <v>13.8</v>
      </c>
      <c r="E30">
        <v>5</v>
      </c>
      <c r="F30">
        <v>10</v>
      </c>
      <c r="G30">
        <v>1</v>
      </c>
      <c r="H30">
        <v>1</v>
      </c>
      <c r="I30" t="s">
        <v>1319</v>
      </c>
      <c r="J30" s="72">
        <v>0</v>
      </c>
    </row>
    <row r="31" spans="1:10" x14ac:dyDescent="0.25">
      <c r="A31" t="s">
        <v>643</v>
      </c>
      <c r="B31" s="1" t="s">
        <v>259</v>
      </c>
      <c r="C31">
        <v>0.5</v>
      </c>
      <c r="D31" s="72">
        <f>PRODUCTOS[[#This Row],[V/U VENTA]]*PRODUCTOS[[#This Row],[CANTIDAD]]</f>
        <v>0</v>
      </c>
      <c r="E31">
        <v>5</v>
      </c>
      <c r="F31">
        <v>10</v>
      </c>
      <c r="G31">
        <v>0</v>
      </c>
      <c r="H31">
        <v>1</v>
      </c>
      <c r="I31" t="s">
        <v>1320</v>
      </c>
      <c r="J31" s="72">
        <v>0</v>
      </c>
    </row>
    <row r="32" spans="1:10" x14ac:dyDescent="0.25">
      <c r="A32" t="s">
        <v>644</v>
      </c>
      <c r="B32" s="1" t="s">
        <v>1385</v>
      </c>
      <c r="C32">
        <v>0.15</v>
      </c>
      <c r="D32" s="72">
        <f>PRODUCTOS[[#This Row],[V/U VENTA]]*PRODUCTOS[[#This Row],[CANTIDAD]]</f>
        <v>47.699999999999996</v>
      </c>
      <c r="E32">
        <v>5</v>
      </c>
      <c r="F32">
        <v>10</v>
      </c>
      <c r="G32">
        <v>318</v>
      </c>
      <c r="H32">
        <v>1</v>
      </c>
      <c r="I32" t="s">
        <v>1319</v>
      </c>
      <c r="J32" s="72">
        <v>0</v>
      </c>
    </row>
    <row r="33" spans="1:10" x14ac:dyDescent="0.25">
      <c r="A33" t="s">
        <v>645</v>
      </c>
      <c r="B33" s="1" t="s">
        <v>1386</v>
      </c>
      <c r="C33">
        <v>0.8</v>
      </c>
      <c r="D33" s="72">
        <f>PRODUCTOS[[#This Row],[V/U VENTA]]*PRODUCTOS[[#This Row],[CANTIDAD]]</f>
        <v>0.8</v>
      </c>
      <c r="E33">
        <v>5</v>
      </c>
      <c r="F33">
        <v>10</v>
      </c>
      <c r="G33">
        <v>1</v>
      </c>
      <c r="H33">
        <v>1</v>
      </c>
      <c r="I33" t="s">
        <v>1320</v>
      </c>
      <c r="J33" s="72">
        <v>0</v>
      </c>
    </row>
    <row r="34" spans="1:10" x14ac:dyDescent="0.25">
      <c r="A34" t="s">
        <v>646</v>
      </c>
      <c r="B34" s="1" t="s">
        <v>12</v>
      </c>
      <c r="C34">
        <v>0.28000000000000003</v>
      </c>
      <c r="D34" s="72">
        <f>PRODUCTOS[[#This Row],[V/U VENTA]]*PRODUCTOS[[#This Row],[CANTIDAD]]</f>
        <v>14.840000000000002</v>
      </c>
      <c r="E34">
        <v>5</v>
      </c>
      <c r="F34">
        <v>10</v>
      </c>
      <c r="G34">
        <v>53</v>
      </c>
      <c r="H34">
        <v>1</v>
      </c>
      <c r="I34" t="s">
        <v>1319</v>
      </c>
      <c r="J34" s="72">
        <v>0</v>
      </c>
    </row>
    <row r="35" spans="1:10" x14ac:dyDescent="0.25">
      <c r="A35" t="s">
        <v>647</v>
      </c>
      <c r="B35" s="1" t="s">
        <v>271</v>
      </c>
      <c r="C35">
        <v>0.42</v>
      </c>
      <c r="D35" s="72">
        <f>PRODUCTOS[[#This Row],[V/U VENTA]]*PRODUCTOS[[#This Row],[CANTIDAD]]</f>
        <v>3.78</v>
      </c>
      <c r="E35">
        <v>5</v>
      </c>
      <c r="F35">
        <v>10</v>
      </c>
      <c r="G35">
        <v>9</v>
      </c>
      <c r="H35">
        <v>1</v>
      </c>
      <c r="I35" t="s">
        <v>1319</v>
      </c>
      <c r="J35" s="72">
        <v>0</v>
      </c>
    </row>
    <row r="36" spans="1:10" x14ac:dyDescent="0.25">
      <c r="A36" t="s">
        <v>648</v>
      </c>
      <c r="B36" s="1" t="s">
        <v>387</v>
      </c>
      <c r="C36">
        <v>4.3099999999999996</v>
      </c>
      <c r="D36" s="72">
        <f>PRODUCTOS[[#This Row],[V/U VENTA]]*PRODUCTOS[[#This Row],[CANTIDAD]]</f>
        <v>4.3099999999999996</v>
      </c>
      <c r="E36">
        <v>5</v>
      </c>
      <c r="F36">
        <v>10</v>
      </c>
      <c r="G36">
        <v>1</v>
      </c>
      <c r="H36">
        <v>1</v>
      </c>
      <c r="I36" t="s">
        <v>1319</v>
      </c>
      <c r="J36" s="72">
        <v>0</v>
      </c>
    </row>
    <row r="37" spans="1:10" x14ac:dyDescent="0.25">
      <c r="A37" t="s">
        <v>649</v>
      </c>
      <c r="B37" s="1" t="s">
        <v>274</v>
      </c>
      <c r="C37">
        <v>0.2</v>
      </c>
      <c r="D37" s="72">
        <f>PRODUCTOS[[#This Row],[V/U VENTA]]*PRODUCTOS[[#This Row],[CANTIDAD]]</f>
        <v>4.8000000000000007</v>
      </c>
      <c r="E37">
        <v>5</v>
      </c>
      <c r="F37">
        <v>10</v>
      </c>
      <c r="G37">
        <v>24</v>
      </c>
      <c r="H37">
        <v>1</v>
      </c>
      <c r="I37" t="s">
        <v>1319</v>
      </c>
      <c r="J37" s="72">
        <v>0</v>
      </c>
    </row>
    <row r="38" spans="1:10" x14ac:dyDescent="0.25">
      <c r="A38" t="s">
        <v>650</v>
      </c>
      <c r="B38" s="1" t="s">
        <v>1387</v>
      </c>
      <c r="C38">
        <v>0.75</v>
      </c>
      <c r="D38" s="72">
        <f>PRODUCTOS[[#This Row],[V/U VENTA]]*PRODUCTOS[[#This Row],[CANTIDAD]]</f>
        <v>9</v>
      </c>
      <c r="E38">
        <v>5</v>
      </c>
      <c r="F38">
        <v>10</v>
      </c>
      <c r="G38">
        <v>12</v>
      </c>
      <c r="H38">
        <v>1</v>
      </c>
      <c r="I38" t="s">
        <v>1320</v>
      </c>
      <c r="J38" s="72">
        <v>0</v>
      </c>
    </row>
    <row r="39" spans="1:10" x14ac:dyDescent="0.25">
      <c r="A39" t="s">
        <v>651</v>
      </c>
      <c r="B39" s="1" t="s">
        <v>122</v>
      </c>
      <c r="C39">
        <v>1</v>
      </c>
      <c r="D39" s="72">
        <f>PRODUCTOS[[#This Row],[V/U VENTA]]*PRODUCTOS[[#This Row],[CANTIDAD]]</f>
        <v>4</v>
      </c>
      <c r="E39">
        <v>5</v>
      </c>
      <c r="F39">
        <v>10</v>
      </c>
      <c r="G39">
        <v>4</v>
      </c>
      <c r="H39">
        <v>1</v>
      </c>
      <c r="I39" t="s">
        <v>1319</v>
      </c>
      <c r="J39" s="72">
        <v>0</v>
      </c>
    </row>
    <row r="40" spans="1:10" x14ac:dyDescent="0.25">
      <c r="A40" t="s">
        <v>652</v>
      </c>
      <c r="B40" s="1" t="s">
        <v>106</v>
      </c>
      <c r="C40">
        <v>2</v>
      </c>
      <c r="D40" s="72">
        <f>PRODUCTOS[[#This Row],[V/U VENTA]]*PRODUCTOS[[#This Row],[CANTIDAD]]</f>
        <v>2</v>
      </c>
      <c r="E40">
        <v>5</v>
      </c>
      <c r="F40">
        <v>10</v>
      </c>
      <c r="G40">
        <v>1</v>
      </c>
      <c r="H40">
        <v>1</v>
      </c>
      <c r="I40" t="s">
        <v>1320</v>
      </c>
      <c r="J40" s="72">
        <v>0</v>
      </c>
    </row>
    <row r="41" spans="1:10" x14ac:dyDescent="0.25">
      <c r="A41" t="s">
        <v>653</v>
      </c>
      <c r="B41" s="1" t="s">
        <v>1754</v>
      </c>
      <c r="C41">
        <v>9.4</v>
      </c>
      <c r="D41" s="72">
        <f>PRODUCTOS[[#This Row],[V/U VENTA]]*PRODUCTOS[[#This Row],[CANTIDAD]]</f>
        <v>18.8</v>
      </c>
      <c r="E41">
        <v>5</v>
      </c>
      <c r="F41">
        <v>10</v>
      </c>
      <c r="G41">
        <v>2</v>
      </c>
      <c r="H41">
        <v>1</v>
      </c>
      <c r="I41" t="s">
        <v>1319</v>
      </c>
      <c r="J41" s="72">
        <v>0</v>
      </c>
    </row>
    <row r="42" spans="1:10" x14ac:dyDescent="0.25">
      <c r="A42" t="s">
        <v>654</v>
      </c>
      <c r="B42" s="1" t="s">
        <v>91</v>
      </c>
      <c r="C42">
        <v>4</v>
      </c>
      <c r="D42" s="72">
        <f>PRODUCTOS[[#This Row],[V/U VENTA]]*PRODUCTOS[[#This Row],[CANTIDAD]]</f>
        <v>0</v>
      </c>
      <c r="E42">
        <v>5</v>
      </c>
      <c r="F42">
        <v>10</v>
      </c>
      <c r="G42">
        <v>0</v>
      </c>
      <c r="H42">
        <v>1</v>
      </c>
      <c r="I42" t="s">
        <v>1319</v>
      </c>
      <c r="J42" s="72">
        <v>0</v>
      </c>
    </row>
    <row r="43" spans="1:10" x14ac:dyDescent="0.25">
      <c r="A43" t="s">
        <v>655</v>
      </c>
      <c r="B43" s="1" t="s">
        <v>92</v>
      </c>
      <c r="C43">
        <v>3.85</v>
      </c>
      <c r="D43" s="72">
        <f>PRODUCTOS[[#This Row],[V/U VENTA]]*PRODUCTOS[[#This Row],[CANTIDAD]]</f>
        <v>0</v>
      </c>
      <c r="E43">
        <v>5</v>
      </c>
      <c r="F43">
        <v>10</v>
      </c>
      <c r="G43">
        <v>0</v>
      </c>
      <c r="H43">
        <v>1</v>
      </c>
      <c r="I43" t="s">
        <v>1319</v>
      </c>
      <c r="J43" s="72">
        <v>0</v>
      </c>
    </row>
    <row r="44" spans="1:10" x14ac:dyDescent="0.25">
      <c r="A44" t="s">
        <v>656</v>
      </c>
      <c r="B44" s="1" t="s">
        <v>542</v>
      </c>
      <c r="C44">
        <v>0.5</v>
      </c>
      <c r="D44" s="72">
        <f>PRODUCTOS[[#This Row],[V/U VENTA]]*PRODUCTOS[[#This Row],[CANTIDAD]]</f>
        <v>0</v>
      </c>
      <c r="E44">
        <v>5</v>
      </c>
      <c r="F44">
        <v>10</v>
      </c>
      <c r="G44">
        <v>0</v>
      </c>
      <c r="H44">
        <v>1</v>
      </c>
      <c r="I44" t="s">
        <v>1319</v>
      </c>
      <c r="J44" s="72">
        <v>0</v>
      </c>
    </row>
    <row r="45" spans="1:10" x14ac:dyDescent="0.25">
      <c r="A45" t="s">
        <v>657</v>
      </c>
      <c r="B45" s="1" t="s">
        <v>543</v>
      </c>
      <c r="C45">
        <v>0.6</v>
      </c>
      <c r="D45" s="72">
        <f>PRODUCTOS[[#This Row],[V/U VENTA]]*PRODUCTOS[[#This Row],[CANTIDAD]]</f>
        <v>0</v>
      </c>
      <c r="E45">
        <v>5</v>
      </c>
      <c r="F45">
        <v>10</v>
      </c>
      <c r="G45">
        <v>0</v>
      </c>
      <c r="H45">
        <v>1</v>
      </c>
      <c r="I45" t="s">
        <v>1319</v>
      </c>
      <c r="J45" s="72">
        <v>0</v>
      </c>
    </row>
    <row r="46" spans="1:10" x14ac:dyDescent="0.25">
      <c r="A46" t="s">
        <v>658</v>
      </c>
      <c r="B46" s="1" t="s">
        <v>515</v>
      </c>
      <c r="C46">
        <v>0.9</v>
      </c>
      <c r="D46" s="72">
        <f>PRODUCTOS[[#This Row],[V/U VENTA]]*PRODUCTOS[[#This Row],[CANTIDAD]]</f>
        <v>0</v>
      </c>
      <c r="E46">
        <v>5</v>
      </c>
      <c r="F46">
        <v>10</v>
      </c>
      <c r="G46">
        <v>0</v>
      </c>
      <c r="H46">
        <v>1</v>
      </c>
      <c r="I46" t="s">
        <v>1319</v>
      </c>
      <c r="J46" s="72">
        <v>0</v>
      </c>
    </row>
    <row r="47" spans="1:10" x14ac:dyDescent="0.25">
      <c r="A47" t="s">
        <v>659</v>
      </c>
      <c r="B47" s="1" t="s">
        <v>390</v>
      </c>
      <c r="C47">
        <v>1.25</v>
      </c>
      <c r="D47" s="72">
        <f>PRODUCTOS[[#This Row],[V/U VENTA]]*PRODUCTOS[[#This Row],[CANTIDAD]]</f>
        <v>5</v>
      </c>
      <c r="E47">
        <v>5</v>
      </c>
      <c r="F47">
        <v>10</v>
      </c>
      <c r="G47">
        <v>4</v>
      </c>
      <c r="H47">
        <v>1</v>
      </c>
      <c r="I47" t="s">
        <v>1319</v>
      </c>
      <c r="J47" s="72">
        <v>0</v>
      </c>
    </row>
    <row r="48" spans="1:10" x14ac:dyDescent="0.25">
      <c r="A48" t="s">
        <v>660</v>
      </c>
      <c r="B48" s="1" t="s">
        <v>89</v>
      </c>
      <c r="C48">
        <v>0.5</v>
      </c>
      <c r="D48" s="72">
        <f>PRODUCTOS[[#This Row],[V/U VENTA]]*PRODUCTOS[[#This Row],[CANTIDAD]]</f>
        <v>1.5</v>
      </c>
      <c r="E48">
        <v>5</v>
      </c>
      <c r="F48">
        <v>10</v>
      </c>
      <c r="G48">
        <v>3</v>
      </c>
      <c r="H48">
        <v>1</v>
      </c>
      <c r="I48" t="s">
        <v>1319</v>
      </c>
      <c r="J48" s="72">
        <v>0</v>
      </c>
    </row>
    <row r="49" spans="1:10" x14ac:dyDescent="0.25">
      <c r="A49" t="s">
        <v>661</v>
      </c>
      <c r="B49" s="1" t="s">
        <v>514</v>
      </c>
      <c r="C49">
        <v>1.5</v>
      </c>
      <c r="D49" s="72">
        <f>PRODUCTOS[[#This Row],[V/U VENTA]]*PRODUCTOS[[#This Row],[CANTIDAD]]</f>
        <v>21</v>
      </c>
      <c r="E49">
        <v>5</v>
      </c>
      <c r="F49">
        <v>10</v>
      </c>
      <c r="G49">
        <v>14</v>
      </c>
      <c r="H49">
        <v>1</v>
      </c>
      <c r="I49" t="s">
        <v>1320</v>
      </c>
      <c r="J49" s="72">
        <v>0</v>
      </c>
    </row>
    <row r="50" spans="1:10" x14ac:dyDescent="0.25">
      <c r="A50" t="s">
        <v>662</v>
      </c>
      <c r="B50" s="1" t="s">
        <v>254</v>
      </c>
      <c r="C50">
        <v>1.3</v>
      </c>
      <c r="D50" s="72">
        <f>PRODUCTOS[[#This Row],[V/U VENTA]]*PRODUCTOS[[#This Row],[CANTIDAD]]</f>
        <v>3.9000000000000004</v>
      </c>
      <c r="E50">
        <v>5</v>
      </c>
      <c r="F50">
        <v>10</v>
      </c>
      <c r="G50">
        <v>3</v>
      </c>
      <c r="H50">
        <v>1</v>
      </c>
      <c r="I50" t="s">
        <v>1319</v>
      </c>
      <c r="J50" s="72">
        <v>0</v>
      </c>
    </row>
    <row r="51" spans="1:10" x14ac:dyDescent="0.25">
      <c r="A51" t="s">
        <v>663</v>
      </c>
      <c r="B51" s="1" t="s">
        <v>1755</v>
      </c>
      <c r="C51">
        <v>6</v>
      </c>
      <c r="D51" s="72">
        <f>PRODUCTOS[[#This Row],[V/U VENTA]]*PRODUCTOS[[#This Row],[CANTIDAD]]</f>
        <v>6</v>
      </c>
      <c r="E51">
        <v>5</v>
      </c>
      <c r="F51">
        <v>10</v>
      </c>
      <c r="G51">
        <v>1</v>
      </c>
      <c r="H51">
        <v>1</v>
      </c>
      <c r="I51" t="s">
        <v>1319</v>
      </c>
      <c r="J51" s="72">
        <v>0</v>
      </c>
    </row>
    <row r="52" spans="1:10" x14ac:dyDescent="0.25">
      <c r="A52" t="s">
        <v>664</v>
      </c>
      <c r="B52" s="1" t="s">
        <v>93</v>
      </c>
      <c r="C52">
        <v>0.35</v>
      </c>
      <c r="D52" s="72">
        <f>PRODUCTOS[[#This Row],[V/U VENTA]]*PRODUCTOS[[#This Row],[CANTIDAD]]</f>
        <v>0</v>
      </c>
      <c r="E52">
        <v>5</v>
      </c>
      <c r="F52">
        <v>10</v>
      </c>
      <c r="G52">
        <v>0</v>
      </c>
      <c r="H52">
        <v>1</v>
      </c>
      <c r="I52" t="s">
        <v>1319</v>
      </c>
      <c r="J52" s="72">
        <v>0</v>
      </c>
    </row>
    <row r="53" spans="1:10" x14ac:dyDescent="0.25">
      <c r="A53" t="s">
        <v>665</v>
      </c>
      <c r="B53" s="1" t="s">
        <v>94</v>
      </c>
      <c r="C53">
        <v>1</v>
      </c>
      <c r="D53" s="72">
        <f>PRODUCTOS[[#This Row],[V/U VENTA]]*PRODUCTOS[[#This Row],[CANTIDAD]]</f>
        <v>2</v>
      </c>
      <c r="E53">
        <v>5</v>
      </c>
      <c r="F53">
        <v>10</v>
      </c>
      <c r="G53">
        <v>2</v>
      </c>
      <c r="H53">
        <v>1</v>
      </c>
      <c r="I53" t="s">
        <v>1319</v>
      </c>
      <c r="J53" s="72">
        <v>0</v>
      </c>
    </row>
    <row r="54" spans="1:10" x14ac:dyDescent="0.25">
      <c r="A54" t="s">
        <v>666</v>
      </c>
      <c r="B54" s="1" t="s">
        <v>1388</v>
      </c>
      <c r="C54">
        <v>0.75</v>
      </c>
      <c r="D54" s="72">
        <f>PRODUCTOS[[#This Row],[V/U VENTA]]*PRODUCTOS[[#This Row],[CANTIDAD]]</f>
        <v>2.25</v>
      </c>
      <c r="E54">
        <v>5</v>
      </c>
      <c r="F54">
        <v>10</v>
      </c>
      <c r="G54">
        <v>3</v>
      </c>
      <c r="H54">
        <v>1</v>
      </c>
      <c r="I54" t="s">
        <v>1319</v>
      </c>
      <c r="J54" s="72">
        <v>0</v>
      </c>
    </row>
    <row r="55" spans="1:10" x14ac:dyDescent="0.25">
      <c r="A55" t="s">
        <v>667</v>
      </c>
      <c r="B55" s="1" t="s">
        <v>1389</v>
      </c>
      <c r="C55">
        <v>1.25</v>
      </c>
      <c r="D55" s="72">
        <f>PRODUCTOS[[#This Row],[V/U VENTA]]*PRODUCTOS[[#This Row],[CANTIDAD]]</f>
        <v>1.25</v>
      </c>
      <c r="E55">
        <v>5</v>
      </c>
      <c r="F55">
        <v>10</v>
      </c>
      <c r="G55">
        <v>1</v>
      </c>
      <c r="H55">
        <v>1</v>
      </c>
      <c r="I55" t="s">
        <v>1319</v>
      </c>
      <c r="J55" s="72">
        <v>0</v>
      </c>
    </row>
    <row r="56" spans="1:10" x14ac:dyDescent="0.25">
      <c r="A56" t="s">
        <v>668</v>
      </c>
      <c r="B56" s="1" t="s">
        <v>1756</v>
      </c>
      <c r="C56">
        <v>0.4</v>
      </c>
      <c r="D56" s="72">
        <f>PRODUCTOS[[#This Row],[V/U VENTA]]*PRODUCTOS[[#This Row],[CANTIDAD]]</f>
        <v>0.8</v>
      </c>
      <c r="E56">
        <v>5</v>
      </c>
      <c r="F56">
        <v>10</v>
      </c>
      <c r="G56">
        <v>2</v>
      </c>
      <c r="H56">
        <v>1</v>
      </c>
      <c r="I56" t="s">
        <v>1319</v>
      </c>
      <c r="J56" s="72">
        <v>0</v>
      </c>
    </row>
    <row r="57" spans="1:10" x14ac:dyDescent="0.25">
      <c r="A57" t="s">
        <v>669</v>
      </c>
      <c r="B57" s="1" t="s">
        <v>1390</v>
      </c>
      <c r="C57">
        <v>0.75</v>
      </c>
      <c r="D57" s="72">
        <f>PRODUCTOS[[#This Row],[V/U VENTA]]*PRODUCTOS[[#This Row],[CANTIDAD]]</f>
        <v>1.5</v>
      </c>
      <c r="E57">
        <v>5</v>
      </c>
      <c r="F57">
        <v>10</v>
      </c>
      <c r="G57">
        <v>2</v>
      </c>
      <c r="H57">
        <v>1</v>
      </c>
      <c r="I57" t="s">
        <v>1319</v>
      </c>
      <c r="J57" s="72">
        <v>0</v>
      </c>
    </row>
    <row r="58" spans="1:10" x14ac:dyDescent="0.25">
      <c r="A58" t="s">
        <v>670</v>
      </c>
      <c r="B58" s="1" t="s">
        <v>1391</v>
      </c>
      <c r="C58">
        <v>0.75</v>
      </c>
      <c r="D58" s="72">
        <f>PRODUCTOS[[#This Row],[V/U VENTA]]*PRODUCTOS[[#This Row],[CANTIDAD]]</f>
        <v>7.5</v>
      </c>
      <c r="E58">
        <v>5</v>
      </c>
      <c r="F58">
        <v>10</v>
      </c>
      <c r="G58">
        <v>10</v>
      </c>
      <c r="H58">
        <v>1</v>
      </c>
      <c r="I58" t="s">
        <v>1319</v>
      </c>
      <c r="J58" s="72">
        <v>0</v>
      </c>
    </row>
    <row r="59" spans="1:10" x14ac:dyDescent="0.25">
      <c r="A59" t="s">
        <v>671</v>
      </c>
      <c r="B59" s="1" t="s">
        <v>1392</v>
      </c>
      <c r="C59">
        <v>1</v>
      </c>
      <c r="D59" s="72">
        <f>PRODUCTOS[[#This Row],[V/U VENTA]]*PRODUCTOS[[#This Row],[CANTIDAD]]</f>
        <v>10</v>
      </c>
      <c r="E59">
        <v>5</v>
      </c>
      <c r="F59">
        <v>10</v>
      </c>
      <c r="G59">
        <v>10</v>
      </c>
      <c r="H59">
        <v>1</v>
      </c>
      <c r="I59" t="s">
        <v>1319</v>
      </c>
      <c r="J59" s="72">
        <v>0</v>
      </c>
    </row>
    <row r="60" spans="1:10" x14ac:dyDescent="0.25">
      <c r="A60" t="s">
        <v>672</v>
      </c>
      <c r="B60" s="1" t="s">
        <v>331</v>
      </c>
      <c r="C60">
        <v>0.35</v>
      </c>
      <c r="D60" s="72">
        <f>PRODUCTOS[[#This Row],[V/U VENTA]]*PRODUCTOS[[#This Row],[CANTIDAD]]</f>
        <v>4.8999999999999995</v>
      </c>
      <c r="E60">
        <v>5</v>
      </c>
      <c r="F60">
        <v>10</v>
      </c>
      <c r="G60">
        <v>14</v>
      </c>
      <c r="H60">
        <v>1</v>
      </c>
      <c r="I60" t="s">
        <v>1319</v>
      </c>
      <c r="J60" s="72">
        <v>0</v>
      </c>
    </row>
    <row r="61" spans="1:10" x14ac:dyDescent="0.25">
      <c r="A61" t="s">
        <v>673</v>
      </c>
      <c r="B61" s="1" t="s">
        <v>95</v>
      </c>
      <c r="C61">
        <v>1.1000000000000001</v>
      </c>
      <c r="D61" s="72">
        <f>PRODUCTOS[[#This Row],[V/U VENTA]]*PRODUCTOS[[#This Row],[CANTIDAD]]</f>
        <v>2.2000000000000002</v>
      </c>
      <c r="E61">
        <v>5</v>
      </c>
      <c r="F61">
        <v>10</v>
      </c>
      <c r="G61">
        <v>2</v>
      </c>
      <c r="H61">
        <v>1</v>
      </c>
      <c r="I61" t="s">
        <v>1319</v>
      </c>
      <c r="J61" s="72">
        <v>0</v>
      </c>
    </row>
    <row r="62" spans="1:10" x14ac:dyDescent="0.25">
      <c r="A62" t="s">
        <v>674</v>
      </c>
      <c r="B62" s="1" t="s">
        <v>489</v>
      </c>
      <c r="C62">
        <v>7</v>
      </c>
      <c r="D62" s="72">
        <f>PRODUCTOS[[#This Row],[V/U VENTA]]*PRODUCTOS[[#This Row],[CANTIDAD]]</f>
        <v>0</v>
      </c>
      <c r="E62">
        <v>5</v>
      </c>
      <c r="F62">
        <v>10</v>
      </c>
      <c r="G62">
        <v>0</v>
      </c>
      <c r="H62">
        <v>1</v>
      </c>
      <c r="I62" t="s">
        <v>1319</v>
      </c>
      <c r="J62" s="72">
        <v>0</v>
      </c>
    </row>
    <row r="63" spans="1:10" x14ac:dyDescent="0.25">
      <c r="A63" t="s">
        <v>675</v>
      </c>
      <c r="B63" s="1" t="s">
        <v>137</v>
      </c>
      <c r="C63">
        <v>0.36</v>
      </c>
      <c r="D63" s="72">
        <f>PRODUCTOS[[#This Row],[V/U VENTA]]*PRODUCTOS[[#This Row],[CANTIDAD]]</f>
        <v>39.6</v>
      </c>
      <c r="E63">
        <v>5</v>
      </c>
      <c r="F63">
        <v>10</v>
      </c>
      <c r="G63">
        <v>110</v>
      </c>
      <c r="H63">
        <v>1</v>
      </c>
      <c r="I63" t="s">
        <v>1320</v>
      </c>
      <c r="J63" s="72">
        <v>0</v>
      </c>
    </row>
    <row r="64" spans="1:10" x14ac:dyDescent="0.25">
      <c r="A64" t="s">
        <v>676</v>
      </c>
      <c r="B64" s="1" t="s">
        <v>597</v>
      </c>
      <c r="C64">
        <v>1.25</v>
      </c>
      <c r="D64" s="72">
        <f>PRODUCTOS[[#This Row],[V/U VENTA]]*PRODUCTOS[[#This Row],[CANTIDAD]]</f>
        <v>60</v>
      </c>
      <c r="E64">
        <v>5</v>
      </c>
      <c r="F64">
        <v>10</v>
      </c>
      <c r="G64">
        <v>48</v>
      </c>
      <c r="H64">
        <v>1</v>
      </c>
      <c r="I64" t="s">
        <v>1319</v>
      </c>
      <c r="J64" s="72">
        <v>0</v>
      </c>
    </row>
    <row r="65" spans="1:10" x14ac:dyDescent="0.25">
      <c r="A65" t="s">
        <v>677</v>
      </c>
      <c r="B65" s="1" t="s">
        <v>229</v>
      </c>
      <c r="C65">
        <v>3.5</v>
      </c>
      <c r="D65" s="72">
        <f>PRODUCTOS[[#This Row],[V/U VENTA]]*PRODUCTOS[[#This Row],[CANTIDAD]]</f>
        <v>10.5</v>
      </c>
      <c r="E65">
        <v>5</v>
      </c>
      <c r="F65">
        <v>10</v>
      </c>
      <c r="G65">
        <v>3</v>
      </c>
      <c r="H65">
        <v>1</v>
      </c>
      <c r="I65" t="s">
        <v>1319</v>
      </c>
      <c r="J65" s="72">
        <v>0</v>
      </c>
    </row>
    <row r="66" spans="1:10" x14ac:dyDescent="0.25">
      <c r="A66" t="s">
        <v>678</v>
      </c>
      <c r="B66" s="1" t="s">
        <v>561</v>
      </c>
      <c r="C66">
        <v>2</v>
      </c>
      <c r="D66" s="72">
        <f>PRODUCTOS[[#This Row],[V/U VENTA]]*PRODUCTOS[[#This Row],[CANTIDAD]]</f>
        <v>4</v>
      </c>
      <c r="E66">
        <v>5</v>
      </c>
      <c r="F66">
        <v>10</v>
      </c>
      <c r="G66">
        <v>2</v>
      </c>
      <c r="H66">
        <v>1</v>
      </c>
      <c r="I66" t="s">
        <v>1319</v>
      </c>
      <c r="J66" s="72">
        <v>0</v>
      </c>
    </row>
    <row r="67" spans="1:10" x14ac:dyDescent="0.25">
      <c r="A67" t="s">
        <v>679</v>
      </c>
      <c r="B67" s="1" t="s">
        <v>1757</v>
      </c>
      <c r="C67">
        <v>0.4</v>
      </c>
      <c r="D67" s="72">
        <f>PRODUCTOS[[#This Row],[V/U VENTA]]*PRODUCTOS[[#This Row],[CANTIDAD]]</f>
        <v>58</v>
      </c>
      <c r="E67">
        <v>5</v>
      </c>
      <c r="F67">
        <v>10</v>
      </c>
      <c r="G67">
        <v>145</v>
      </c>
      <c r="H67">
        <v>1</v>
      </c>
      <c r="I67" t="s">
        <v>1320</v>
      </c>
      <c r="J67" s="72">
        <v>0</v>
      </c>
    </row>
    <row r="68" spans="1:10" x14ac:dyDescent="0.25">
      <c r="A68" t="s">
        <v>680</v>
      </c>
      <c r="B68" s="1" t="s">
        <v>545</v>
      </c>
      <c r="C68">
        <v>0.32</v>
      </c>
      <c r="D68" s="72">
        <f>PRODUCTOS[[#This Row],[V/U VENTA]]*PRODUCTOS[[#This Row],[CANTIDAD]]</f>
        <v>25.6</v>
      </c>
      <c r="E68">
        <v>5</v>
      </c>
      <c r="F68">
        <v>10</v>
      </c>
      <c r="G68">
        <v>80</v>
      </c>
      <c r="H68">
        <v>1</v>
      </c>
      <c r="I68" t="s">
        <v>1319</v>
      </c>
      <c r="J68" s="72">
        <v>0</v>
      </c>
    </row>
    <row r="69" spans="1:10" x14ac:dyDescent="0.25">
      <c r="A69" t="s">
        <v>681</v>
      </c>
      <c r="B69" s="1" t="s">
        <v>544</v>
      </c>
      <c r="C69">
        <v>0.36</v>
      </c>
      <c r="D69" s="72">
        <f>PRODUCTOS[[#This Row],[V/U VENTA]]*PRODUCTOS[[#This Row],[CANTIDAD]]</f>
        <v>0</v>
      </c>
      <c r="E69">
        <v>5</v>
      </c>
      <c r="F69">
        <v>10</v>
      </c>
      <c r="G69">
        <v>0</v>
      </c>
      <c r="H69">
        <v>1</v>
      </c>
      <c r="I69" t="s">
        <v>1319</v>
      </c>
      <c r="J69" s="72">
        <v>0</v>
      </c>
    </row>
    <row r="70" spans="1:10" x14ac:dyDescent="0.25">
      <c r="A70" t="s">
        <v>682</v>
      </c>
      <c r="B70" s="1" t="s">
        <v>1393</v>
      </c>
      <c r="C70">
        <v>0.25</v>
      </c>
      <c r="D70" s="72">
        <f>PRODUCTOS[[#This Row],[V/U VENTA]]*PRODUCTOS[[#This Row],[CANTIDAD]]</f>
        <v>35.75</v>
      </c>
      <c r="E70">
        <v>5</v>
      </c>
      <c r="F70">
        <v>10</v>
      </c>
      <c r="G70">
        <v>143</v>
      </c>
      <c r="H70">
        <v>1</v>
      </c>
      <c r="I70" t="s">
        <v>1319</v>
      </c>
      <c r="J70" s="72">
        <v>0</v>
      </c>
    </row>
    <row r="71" spans="1:10" x14ac:dyDescent="0.25">
      <c r="A71" t="s">
        <v>683</v>
      </c>
      <c r="B71" s="1" t="s">
        <v>1394</v>
      </c>
      <c r="C71">
        <v>10</v>
      </c>
      <c r="D71" s="72">
        <f>PRODUCTOS[[#This Row],[V/U VENTA]]*PRODUCTOS[[#This Row],[CANTIDAD]]</f>
        <v>0</v>
      </c>
      <c r="E71">
        <v>5</v>
      </c>
      <c r="F71">
        <v>10</v>
      </c>
      <c r="G71">
        <v>0</v>
      </c>
      <c r="H71">
        <v>1</v>
      </c>
      <c r="I71" t="s">
        <v>1319</v>
      </c>
      <c r="J71" s="72">
        <v>0</v>
      </c>
    </row>
    <row r="72" spans="1:10" x14ac:dyDescent="0.25">
      <c r="A72" t="s">
        <v>684</v>
      </c>
      <c r="B72" s="1" t="s">
        <v>1758</v>
      </c>
      <c r="C72">
        <v>1.5</v>
      </c>
      <c r="D72" s="72">
        <f>PRODUCTOS[[#This Row],[V/U VENTA]]*PRODUCTOS[[#This Row],[CANTIDAD]]</f>
        <v>85.5</v>
      </c>
      <c r="E72">
        <v>5</v>
      </c>
      <c r="F72">
        <v>10</v>
      </c>
      <c r="G72">
        <v>57</v>
      </c>
      <c r="H72">
        <v>1</v>
      </c>
      <c r="I72" t="s">
        <v>1319</v>
      </c>
      <c r="J72" s="72">
        <v>0</v>
      </c>
    </row>
    <row r="73" spans="1:10" x14ac:dyDescent="0.25">
      <c r="A73" t="s">
        <v>685</v>
      </c>
      <c r="B73" s="1" t="s">
        <v>571</v>
      </c>
      <c r="C73">
        <v>1.1499999999999999</v>
      </c>
      <c r="D73" s="72">
        <f>PRODUCTOS[[#This Row],[V/U VENTA]]*PRODUCTOS[[#This Row],[CANTIDAD]]</f>
        <v>60.949999999999996</v>
      </c>
      <c r="E73">
        <v>5</v>
      </c>
      <c r="F73">
        <v>10</v>
      </c>
      <c r="G73">
        <v>53</v>
      </c>
      <c r="H73">
        <v>1</v>
      </c>
      <c r="I73" t="s">
        <v>1319</v>
      </c>
      <c r="J73" s="72">
        <v>0</v>
      </c>
    </row>
    <row r="74" spans="1:10" x14ac:dyDescent="0.25">
      <c r="A74" t="s">
        <v>686</v>
      </c>
      <c r="B74" s="1" t="s">
        <v>158</v>
      </c>
      <c r="C74">
        <v>0.7</v>
      </c>
      <c r="D74" s="72">
        <f>PRODUCTOS[[#This Row],[V/U VENTA]]*PRODUCTOS[[#This Row],[CANTIDAD]]</f>
        <v>21.7</v>
      </c>
      <c r="E74">
        <v>5</v>
      </c>
      <c r="F74">
        <v>10</v>
      </c>
      <c r="G74">
        <v>31</v>
      </c>
      <c r="H74">
        <v>1</v>
      </c>
      <c r="I74" t="s">
        <v>1319</v>
      </c>
      <c r="J74" s="72">
        <v>0</v>
      </c>
    </row>
    <row r="75" spans="1:10" x14ac:dyDescent="0.25">
      <c r="A75" t="s">
        <v>687</v>
      </c>
      <c r="B75" s="1" t="s">
        <v>355</v>
      </c>
      <c r="C75">
        <v>3.73</v>
      </c>
      <c r="D75" s="72">
        <f>PRODUCTOS[[#This Row],[V/U VENTA]]*PRODUCTOS[[#This Row],[CANTIDAD]]</f>
        <v>3.73</v>
      </c>
      <c r="E75">
        <v>5</v>
      </c>
      <c r="F75">
        <v>10</v>
      </c>
      <c r="G75">
        <v>1</v>
      </c>
      <c r="H75">
        <v>1</v>
      </c>
      <c r="I75" t="s">
        <v>1319</v>
      </c>
      <c r="J75" s="72">
        <v>0</v>
      </c>
    </row>
    <row r="76" spans="1:10" x14ac:dyDescent="0.25">
      <c r="A76" t="s">
        <v>688</v>
      </c>
      <c r="B76" s="1" t="s">
        <v>173</v>
      </c>
      <c r="C76">
        <v>1.5</v>
      </c>
      <c r="D76" s="72">
        <f>PRODUCTOS[[#This Row],[V/U VENTA]]*PRODUCTOS[[#This Row],[CANTIDAD]]</f>
        <v>0</v>
      </c>
      <c r="E76">
        <v>5</v>
      </c>
      <c r="F76">
        <v>10</v>
      </c>
      <c r="G76">
        <v>0</v>
      </c>
      <c r="H76">
        <v>1</v>
      </c>
      <c r="I76" t="s">
        <v>1319</v>
      </c>
      <c r="J76" s="72">
        <v>0</v>
      </c>
    </row>
    <row r="77" spans="1:10" x14ac:dyDescent="0.25">
      <c r="A77" t="s">
        <v>689</v>
      </c>
      <c r="B77" s="1" t="s">
        <v>1759</v>
      </c>
      <c r="C77">
        <v>0.25</v>
      </c>
      <c r="D77" s="72">
        <f>PRODUCTOS[[#This Row],[V/U VENTA]]*PRODUCTOS[[#This Row],[CANTIDAD]]</f>
        <v>18.75</v>
      </c>
      <c r="E77">
        <v>5</v>
      </c>
      <c r="F77">
        <v>10</v>
      </c>
      <c r="G77">
        <v>75</v>
      </c>
      <c r="H77">
        <v>1</v>
      </c>
      <c r="I77" t="s">
        <v>1319</v>
      </c>
      <c r="J77" s="72">
        <v>0</v>
      </c>
    </row>
    <row r="78" spans="1:10" x14ac:dyDescent="0.25">
      <c r="A78" t="s">
        <v>690</v>
      </c>
      <c r="B78" s="1" t="s">
        <v>546</v>
      </c>
      <c r="C78">
        <v>0.3</v>
      </c>
      <c r="D78" s="72">
        <f>PRODUCTOS[[#This Row],[V/U VENTA]]*PRODUCTOS[[#This Row],[CANTIDAD]]</f>
        <v>39</v>
      </c>
      <c r="E78">
        <v>5</v>
      </c>
      <c r="F78">
        <v>10</v>
      </c>
      <c r="G78">
        <v>130</v>
      </c>
      <c r="H78">
        <v>1</v>
      </c>
      <c r="I78" t="s">
        <v>1320</v>
      </c>
      <c r="J78" s="72">
        <v>0</v>
      </c>
    </row>
    <row r="79" spans="1:10" x14ac:dyDescent="0.25">
      <c r="A79" t="s">
        <v>691</v>
      </c>
      <c r="B79" s="1" t="s">
        <v>354</v>
      </c>
      <c r="C79">
        <v>3.75</v>
      </c>
      <c r="D79" s="72">
        <f>PRODUCTOS[[#This Row],[V/U VENTA]]*PRODUCTOS[[#This Row],[CANTIDAD]]</f>
        <v>3.75</v>
      </c>
      <c r="E79">
        <v>5</v>
      </c>
      <c r="F79">
        <v>10</v>
      </c>
      <c r="G79">
        <v>1</v>
      </c>
      <c r="H79">
        <v>1</v>
      </c>
      <c r="I79" t="s">
        <v>1319</v>
      </c>
      <c r="J79" s="72">
        <v>0</v>
      </c>
    </row>
    <row r="80" spans="1:10" x14ac:dyDescent="0.25">
      <c r="A80" t="s">
        <v>692</v>
      </c>
      <c r="B80" s="1" t="s">
        <v>1760</v>
      </c>
      <c r="C80">
        <v>0.3</v>
      </c>
      <c r="D80" s="72">
        <f>PRODUCTOS[[#This Row],[V/U VENTA]]*PRODUCTOS[[#This Row],[CANTIDAD]]</f>
        <v>5.7</v>
      </c>
      <c r="E80">
        <v>5</v>
      </c>
      <c r="F80">
        <v>10</v>
      </c>
      <c r="G80">
        <v>19</v>
      </c>
      <c r="H80">
        <v>1</v>
      </c>
      <c r="I80" t="s">
        <v>1319</v>
      </c>
      <c r="J80" s="72">
        <v>0</v>
      </c>
    </row>
    <row r="81" spans="1:10" x14ac:dyDescent="0.25">
      <c r="A81" t="s">
        <v>693</v>
      </c>
      <c r="B81" s="1" t="s">
        <v>180</v>
      </c>
      <c r="C81">
        <v>0.09</v>
      </c>
      <c r="D81" s="72">
        <f>PRODUCTOS[[#This Row],[V/U VENTA]]*PRODUCTOS[[#This Row],[CANTIDAD]]</f>
        <v>3.51</v>
      </c>
      <c r="E81">
        <v>5</v>
      </c>
      <c r="F81">
        <v>10</v>
      </c>
      <c r="G81">
        <v>39</v>
      </c>
      <c r="H81">
        <v>1</v>
      </c>
      <c r="I81" t="s">
        <v>1319</v>
      </c>
      <c r="J81" s="72">
        <v>0</v>
      </c>
    </row>
    <row r="82" spans="1:10" x14ac:dyDescent="0.25">
      <c r="A82" t="s">
        <v>694</v>
      </c>
      <c r="B82" s="1" t="s">
        <v>477</v>
      </c>
      <c r="C82">
        <v>1.25</v>
      </c>
      <c r="D82" s="72">
        <f>PRODUCTOS[[#This Row],[V/U VENTA]]*PRODUCTOS[[#This Row],[CANTIDAD]]</f>
        <v>0</v>
      </c>
      <c r="E82">
        <v>5</v>
      </c>
      <c r="F82">
        <v>10</v>
      </c>
      <c r="G82">
        <v>0</v>
      </c>
      <c r="H82">
        <v>1</v>
      </c>
      <c r="I82" t="s">
        <v>1319</v>
      </c>
      <c r="J82" s="72">
        <v>0</v>
      </c>
    </row>
    <row r="83" spans="1:10" x14ac:dyDescent="0.25">
      <c r="A83" t="s">
        <v>695</v>
      </c>
      <c r="B83" s="1" t="s">
        <v>141</v>
      </c>
      <c r="C83">
        <v>0.57999999999999996</v>
      </c>
      <c r="D83" s="72">
        <f>PRODUCTOS[[#This Row],[V/U VENTA]]*PRODUCTOS[[#This Row],[CANTIDAD]]</f>
        <v>23.2</v>
      </c>
      <c r="E83">
        <v>5</v>
      </c>
      <c r="F83">
        <v>10</v>
      </c>
      <c r="G83">
        <v>40</v>
      </c>
      <c r="H83">
        <v>1</v>
      </c>
      <c r="I83" t="s">
        <v>1319</v>
      </c>
      <c r="J83" s="72">
        <v>0</v>
      </c>
    </row>
    <row r="84" spans="1:10" x14ac:dyDescent="0.25">
      <c r="A84" t="s">
        <v>696</v>
      </c>
      <c r="B84" s="1" t="s">
        <v>14</v>
      </c>
      <c r="C84">
        <v>0.99</v>
      </c>
      <c r="D84" s="72">
        <f>PRODUCTOS[[#This Row],[V/U VENTA]]*PRODUCTOS[[#This Row],[CANTIDAD]]</f>
        <v>0.99</v>
      </c>
      <c r="E84">
        <v>5</v>
      </c>
      <c r="F84">
        <v>10</v>
      </c>
      <c r="G84">
        <v>1</v>
      </c>
      <c r="H84">
        <v>1</v>
      </c>
      <c r="I84" t="s">
        <v>1320</v>
      </c>
      <c r="J84" s="72">
        <v>0</v>
      </c>
    </row>
    <row r="85" spans="1:10" x14ac:dyDescent="0.25">
      <c r="A85" t="s">
        <v>697</v>
      </c>
      <c r="B85" s="1" t="s">
        <v>1761</v>
      </c>
      <c r="C85">
        <v>3.4</v>
      </c>
      <c r="D85" s="72">
        <f>PRODUCTOS[[#This Row],[V/U VENTA]]*PRODUCTOS[[#This Row],[CANTIDAD]]</f>
        <v>3.4</v>
      </c>
      <c r="E85">
        <v>5</v>
      </c>
      <c r="F85">
        <v>10</v>
      </c>
      <c r="G85">
        <v>1</v>
      </c>
      <c r="H85">
        <v>1</v>
      </c>
      <c r="I85" t="s">
        <v>1319</v>
      </c>
      <c r="J85" s="72">
        <v>0</v>
      </c>
    </row>
    <row r="86" spans="1:10" x14ac:dyDescent="0.25">
      <c r="A86" t="s">
        <v>698</v>
      </c>
      <c r="B86" s="1" t="s">
        <v>136</v>
      </c>
      <c r="C86">
        <v>0.2</v>
      </c>
      <c r="D86" s="72">
        <f>PRODUCTOS[[#This Row],[V/U VENTA]]*PRODUCTOS[[#This Row],[CANTIDAD]]</f>
        <v>0</v>
      </c>
      <c r="E86">
        <v>5</v>
      </c>
      <c r="F86">
        <v>10</v>
      </c>
      <c r="G86">
        <v>0</v>
      </c>
      <c r="H86">
        <v>1</v>
      </c>
      <c r="I86" t="s">
        <v>1319</v>
      </c>
      <c r="J86" s="72">
        <v>0</v>
      </c>
    </row>
    <row r="87" spans="1:10" x14ac:dyDescent="0.25">
      <c r="A87" t="s">
        <v>699</v>
      </c>
      <c r="B87" s="1" t="s">
        <v>404</v>
      </c>
      <c r="C87">
        <v>4.5</v>
      </c>
      <c r="D87" s="72">
        <f>PRODUCTOS[[#This Row],[V/U VENTA]]*PRODUCTOS[[#This Row],[CANTIDAD]]</f>
        <v>4.5</v>
      </c>
      <c r="E87">
        <v>5</v>
      </c>
      <c r="F87">
        <v>10</v>
      </c>
      <c r="G87">
        <v>1</v>
      </c>
      <c r="H87">
        <v>1</v>
      </c>
      <c r="I87" t="s">
        <v>1320</v>
      </c>
      <c r="J87" s="72">
        <v>0</v>
      </c>
    </row>
    <row r="88" spans="1:10" x14ac:dyDescent="0.25">
      <c r="A88" t="s">
        <v>700</v>
      </c>
      <c r="B88" s="1" t="s">
        <v>15</v>
      </c>
      <c r="C88">
        <v>0.5</v>
      </c>
      <c r="D88" s="72">
        <f>PRODUCTOS[[#This Row],[V/U VENTA]]*PRODUCTOS[[#This Row],[CANTIDAD]]</f>
        <v>37.5</v>
      </c>
      <c r="E88">
        <v>5</v>
      </c>
      <c r="F88">
        <v>10</v>
      </c>
      <c r="G88">
        <v>75</v>
      </c>
      <c r="H88">
        <v>1</v>
      </c>
      <c r="I88" t="s">
        <v>1319</v>
      </c>
      <c r="J88" s="72">
        <v>0</v>
      </c>
    </row>
    <row r="89" spans="1:10" x14ac:dyDescent="0.25">
      <c r="A89" t="s">
        <v>701</v>
      </c>
      <c r="B89" s="1" t="s">
        <v>17</v>
      </c>
      <c r="C89">
        <v>0.35</v>
      </c>
      <c r="D89" s="72">
        <f>PRODUCTOS[[#This Row],[V/U VENTA]]*PRODUCTOS[[#This Row],[CANTIDAD]]</f>
        <v>2.0999999999999996</v>
      </c>
      <c r="E89">
        <v>5</v>
      </c>
      <c r="F89">
        <v>10</v>
      </c>
      <c r="G89">
        <v>6</v>
      </c>
      <c r="H89">
        <v>1</v>
      </c>
      <c r="I89" t="s">
        <v>1319</v>
      </c>
      <c r="J89" s="72">
        <v>0</v>
      </c>
    </row>
    <row r="90" spans="1:10" x14ac:dyDescent="0.25">
      <c r="A90" t="s">
        <v>702</v>
      </c>
      <c r="B90" s="1" t="s">
        <v>16</v>
      </c>
      <c r="C90">
        <v>0.4</v>
      </c>
      <c r="D90" s="72">
        <f>PRODUCTOS[[#This Row],[V/U VENTA]]*PRODUCTOS[[#This Row],[CANTIDAD]]</f>
        <v>41.2</v>
      </c>
      <c r="E90">
        <v>5</v>
      </c>
      <c r="F90">
        <v>10</v>
      </c>
      <c r="G90">
        <v>103</v>
      </c>
      <c r="H90">
        <v>1</v>
      </c>
      <c r="I90" t="s">
        <v>1319</v>
      </c>
      <c r="J90" s="72">
        <v>0</v>
      </c>
    </row>
    <row r="91" spans="1:10" x14ac:dyDescent="0.25">
      <c r="A91" t="s">
        <v>703</v>
      </c>
      <c r="B91" s="1" t="s">
        <v>31</v>
      </c>
      <c r="C91">
        <v>0.2</v>
      </c>
      <c r="D91" s="72">
        <f>PRODUCTOS[[#This Row],[V/U VENTA]]*PRODUCTOS[[#This Row],[CANTIDAD]]</f>
        <v>0.2</v>
      </c>
      <c r="E91">
        <v>5</v>
      </c>
      <c r="F91">
        <v>10</v>
      </c>
      <c r="G91">
        <v>1</v>
      </c>
      <c r="H91">
        <v>1</v>
      </c>
      <c r="I91" t="s">
        <v>1319</v>
      </c>
      <c r="J91" s="72">
        <v>0</v>
      </c>
    </row>
    <row r="92" spans="1:10" x14ac:dyDescent="0.25">
      <c r="A92" t="s">
        <v>704</v>
      </c>
      <c r="B92" s="1" t="s">
        <v>1395</v>
      </c>
      <c r="C92">
        <v>1.6</v>
      </c>
      <c r="D92" s="72">
        <f>PRODUCTOS[[#This Row],[V/U VENTA]]*PRODUCTOS[[#This Row],[CANTIDAD]]</f>
        <v>33.6</v>
      </c>
      <c r="E92">
        <v>5</v>
      </c>
      <c r="F92">
        <v>10</v>
      </c>
      <c r="G92">
        <v>21</v>
      </c>
      <c r="H92">
        <v>1</v>
      </c>
      <c r="I92" t="s">
        <v>1319</v>
      </c>
      <c r="J92" s="72">
        <v>0</v>
      </c>
    </row>
    <row r="93" spans="1:10" x14ac:dyDescent="0.25">
      <c r="A93" t="s">
        <v>705</v>
      </c>
      <c r="B93" s="1" t="s">
        <v>1396</v>
      </c>
      <c r="C93">
        <v>1</v>
      </c>
      <c r="D93" s="72">
        <f>PRODUCTOS[[#This Row],[V/U VENTA]]*PRODUCTOS[[#This Row],[CANTIDAD]]</f>
        <v>12</v>
      </c>
      <c r="E93">
        <v>5</v>
      </c>
      <c r="F93">
        <v>10</v>
      </c>
      <c r="G93">
        <v>12</v>
      </c>
      <c r="H93">
        <v>1</v>
      </c>
      <c r="I93" t="s">
        <v>1319</v>
      </c>
      <c r="J93" s="72">
        <v>0</v>
      </c>
    </row>
    <row r="94" spans="1:10" x14ac:dyDescent="0.25">
      <c r="A94" t="s">
        <v>706</v>
      </c>
      <c r="B94" s="1" t="s">
        <v>1762</v>
      </c>
      <c r="C94">
        <v>1</v>
      </c>
      <c r="D94" s="72">
        <f>PRODUCTOS[[#This Row],[V/U VENTA]]*PRODUCTOS[[#This Row],[CANTIDAD]]</f>
        <v>2</v>
      </c>
      <c r="E94">
        <v>5</v>
      </c>
      <c r="F94">
        <v>10</v>
      </c>
      <c r="G94">
        <v>2</v>
      </c>
      <c r="H94">
        <v>1</v>
      </c>
      <c r="I94" t="s">
        <v>1319</v>
      </c>
      <c r="J94" s="72">
        <v>0</v>
      </c>
    </row>
    <row r="95" spans="1:10" x14ac:dyDescent="0.25">
      <c r="A95" t="s">
        <v>707</v>
      </c>
      <c r="B95" s="1" t="s">
        <v>32</v>
      </c>
      <c r="C95">
        <v>2</v>
      </c>
      <c r="D95" s="72">
        <f>PRODUCTOS[[#This Row],[V/U VENTA]]*PRODUCTOS[[#This Row],[CANTIDAD]]</f>
        <v>48</v>
      </c>
      <c r="E95">
        <v>5</v>
      </c>
      <c r="F95">
        <v>10</v>
      </c>
      <c r="G95">
        <v>24</v>
      </c>
      <c r="H95">
        <v>1</v>
      </c>
      <c r="I95" t="s">
        <v>1319</v>
      </c>
      <c r="J95" s="72">
        <v>0</v>
      </c>
    </row>
    <row r="96" spans="1:10" x14ac:dyDescent="0.25">
      <c r="A96" t="s">
        <v>708</v>
      </c>
      <c r="B96" s="1" t="s">
        <v>409</v>
      </c>
      <c r="C96">
        <v>5</v>
      </c>
      <c r="D96" s="72">
        <f>PRODUCTOS[[#This Row],[V/U VENTA]]*PRODUCTOS[[#This Row],[CANTIDAD]]</f>
        <v>5</v>
      </c>
      <c r="E96">
        <v>5</v>
      </c>
      <c r="F96">
        <v>10</v>
      </c>
      <c r="G96">
        <v>1</v>
      </c>
      <c r="H96">
        <v>1</v>
      </c>
      <c r="I96" t="s">
        <v>1319</v>
      </c>
      <c r="J96" s="72">
        <v>0</v>
      </c>
    </row>
    <row r="97" spans="1:10" x14ac:dyDescent="0.25">
      <c r="A97" t="s">
        <v>709</v>
      </c>
      <c r="B97" s="1" t="s">
        <v>410</v>
      </c>
      <c r="C97">
        <v>2</v>
      </c>
      <c r="D97" s="72">
        <f>PRODUCTOS[[#This Row],[V/U VENTA]]*PRODUCTOS[[#This Row],[CANTIDAD]]</f>
        <v>2</v>
      </c>
      <c r="E97">
        <v>5</v>
      </c>
      <c r="F97">
        <v>10</v>
      </c>
      <c r="G97">
        <v>1</v>
      </c>
      <c r="H97">
        <v>1</v>
      </c>
      <c r="I97" t="s">
        <v>1319</v>
      </c>
      <c r="J97" s="72">
        <v>0</v>
      </c>
    </row>
    <row r="98" spans="1:10" x14ac:dyDescent="0.25">
      <c r="A98" t="s">
        <v>710</v>
      </c>
      <c r="B98" s="1" t="s">
        <v>13</v>
      </c>
      <c r="C98">
        <v>0.44</v>
      </c>
      <c r="D98" s="72">
        <f>PRODUCTOS[[#This Row],[V/U VENTA]]*PRODUCTOS[[#This Row],[CANTIDAD]]</f>
        <v>4.84</v>
      </c>
      <c r="E98">
        <v>5</v>
      </c>
      <c r="F98">
        <v>10</v>
      </c>
      <c r="G98">
        <v>11</v>
      </c>
      <c r="H98">
        <v>1</v>
      </c>
      <c r="I98" t="s">
        <v>1319</v>
      </c>
      <c r="J98" s="72">
        <v>0</v>
      </c>
    </row>
    <row r="99" spans="1:10" x14ac:dyDescent="0.25">
      <c r="A99" t="s">
        <v>711</v>
      </c>
      <c r="B99" s="1" t="s">
        <v>140</v>
      </c>
      <c r="C99">
        <v>0.6</v>
      </c>
      <c r="D99" s="72">
        <f>PRODUCTOS[[#This Row],[V/U VENTA]]*PRODUCTOS[[#This Row],[CANTIDAD]]</f>
        <v>0</v>
      </c>
      <c r="E99">
        <v>5</v>
      </c>
      <c r="F99">
        <v>10</v>
      </c>
      <c r="G99">
        <v>0</v>
      </c>
      <c r="H99">
        <v>1</v>
      </c>
      <c r="I99" t="s">
        <v>1319</v>
      </c>
      <c r="J99" s="72">
        <v>0</v>
      </c>
    </row>
    <row r="100" spans="1:10" x14ac:dyDescent="0.25">
      <c r="A100" t="s">
        <v>712</v>
      </c>
      <c r="B100" s="1" t="s">
        <v>1763</v>
      </c>
      <c r="C100">
        <v>0.15</v>
      </c>
      <c r="D100" s="72">
        <f>PRODUCTOS[[#This Row],[V/U VENTA]]*PRODUCTOS[[#This Row],[CANTIDAD]]</f>
        <v>29.7</v>
      </c>
      <c r="E100">
        <v>5</v>
      </c>
      <c r="F100">
        <v>10</v>
      </c>
      <c r="G100">
        <v>198</v>
      </c>
      <c r="H100">
        <v>1</v>
      </c>
      <c r="I100" t="s">
        <v>1319</v>
      </c>
      <c r="J100" s="72">
        <v>0</v>
      </c>
    </row>
    <row r="101" spans="1:10" x14ac:dyDescent="0.25">
      <c r="A101" t="s">
        <v>713</v>
      </c>
      <c r="B101" s="1" t="s">
        <v>138</v>
      </c>
      <c r="C101">
        <v>0.13</v>
      </c>
      <c r="D101" s="72">
        <f>PRODUCTOS[[#This Row],[V/U VENTA]]*PRODUCTOS[[#This Row],[CANTIDAD]]</f>
        <v>0</v>
      </c>
      <c r="E101">
        <v>5</v>
      </c>
      <c r="F101">
        <v>10</v>
      </c>
      <c r="G101">
        <v>0</v>
      </c>
      <c r="H101">
        <v>1</v>
      </c>
      <c r="I101" t="s">
        <v>1319</v>
      </c>
      <c r="J101" s="72">
        <v>0</v>
      </c>
    </row>
    <row r="102" spans="1:10" x14ac:dyDescent="0.25">
      <c r="A102" t="s">
        <v>714</v>
      </c>
      <c r="B102" s="1" t="s">
        <v>139</v>
      </c>
      <c r="C102">
        <v>0.28000000000000003</v>
      </c>
      <c r="D102" s="72">
        <f>PRODUCTOS[[#This Row],[V/U VENTA]]*PRODUCTOS[[#This Row],[CANTIDAD]]</f>
        <v>0</v>
      </c>
      <c r="E102">
        <v>5</v>
      </c>
      <c r="F102">
        <v>10</v>
      </c>
      <c r="G102">
        <v>0</v>
      </c>
      <c r="H102">
        <v>1</v>
      </c>
      <c r="I102" t="s">
        <v>1319</v>
      </c>
      <c r="J102" s="72">
        <v>0</v>
      </c>
    </row>
    <row r="103" spans="1:10" x14ac:dyDescent="0.25">
      <c r="A103" t="s">
        <v>715</v>
      </c>
      <c r="B103" s="1" t="s">
        <v>547</v>
      </c>
      <c r="C103">
        <v>30</v>
      </c>
      <c r="D103" s="72">
        <f>PRODUCTOS[[#This Row],[V/U VENTA]]*PRODUCTOS[[#This Row],[CANTIDAD]]</f>
        <v>120</v>
      </c>
      <c r="E103">
        <v>5</v>
      </c>
      <c r="F103">
        <v>10</v>
      </c>
      <c r="G103">
        <v>4</v>
      </c>
      <c r="H103">
        <v>1</v>
      </c>
      <c r="I103" t="s">
        <v>1319</v>
      </c>
      <c r="J103" s="72">
        <v>0</v>
      </c>
    </row>
    <row r="104" spans="1:10" x14ac:dyDescent="0.25">
      <c r="A104" t="s">
        <v>716</v>
      </c>
      <c r="B104" s="1" t="s">
        <v>233</v>
      </c>
      <c r="C104">
        <v>12.87</v>
      </c>
      <c r="D104" s="72">
        <f>PRODUCTOS[[#This Row],[V/U VENTA]]*PRODUCTOS[[#This Row],[CANTIDAD]]</f>
        <v>12.87</v>
      </c>
      <c r="E104">
        <v>5</v>
      </c>
      <c r="F104">
        <v>10</v>
      </c>
      <c r="G104">
        <v>1</v>
      </c>
      <c r="H104">
        <v>1</v>
      </c>
      <c r="I104" t="s">
        <v>1319</v>
      </c>
      <c r="J104" s="72">
        <v>0</v>
      </c>
    </row>
    <row r="105" spans="1:10" x14ac:dyDescent="0.25">
      <c r="A105" t="s">
        <v>717</v>
      </c>
      <c r="B105" s="1" t="s">
        <v>1764</v>
      </c>
      <c r="C105">
        <v>6.36</v>
      </c>
      <c r="D105" s="72">
        <f>PRODUCTOS[[#This Row],[V/U VENTA]]*PRODUCTOS[[#This Row],[CANTIDAD]]</f>
        <v>0</v>
      </c>
      <c r="E105">
        <v>5</v>
      </c>
      <c r="F105">
        <v>10</v>
      </c>
      <c r="G105">
        <v>0</v>
      </c>
      <c r="H105">
        <v>1</v>
      </c>
      <c r="I105" t="s">
        <v>1319</v>
      </c>
      <c r="J105" s="72">
        <v>0</v>
      </c>
    </row>
    <row r="106" spans="1:10" x14ac:dyDescent="0.25">
      <c r="A106" t="s">
        <v>718</v>
      </c>
      <c r="B106" s="1" t="s">
        <v>320</v>
      </c>
      <c r="C106">
        <v>0.68</v>
      </c>
      <c r="D106" s="72">
        <f>PRODUCTOS[[#This Row],[V/U VENTA]]*PRODUCTOS[[#This Row],[CANTIDAD]]</f>
        <v>18.360000000000003</v>
      </c>
      <c r="E106">
        <v>5</v>
      </c>
      <c r="F106">
        <v>10</v>
      </c>
      <c r="G106">
        <v>27</v>
      </c>
      <c r="H106">
        <v>1</v>
      </c>
      <c r="I106" t="s">
        <v>1319</v>
      </c>
      <c r="J106" s="72">
        <v>0</v>
      </c>
    </row>
    <row r="107" spans="1:10" x14ac:dyDescent="0.25">
      <c r="A107" t="s">
        <v>719</v>
      </c>
      <c r="B107" s="1" t="s">
        <v>548</v>
      </c>
      <c r="C107">
        <v>2</v>
      </c>
      <c r="D107" s="72">
        <f>PRODUCTOS[[#This Row],[V/U VENTA]]*PRODUCTOS[[#This Row],[CANTIDAD]]</f>
        <v>106</v>
      </c>
      <c r="E107">
        <v>5</v>
      </c>
      <c r="F107">
        <v>10</v>
      </c>
      <c r="G107">
        <v>53</v>
      </c>
      <c r="H107">
        <v>1</v>
      </c>
      <c r="I107" t="s">
        <v>1319</v>
      </c>
      <c r="J107" s="72">
        <v>0</v>
      </c>
    </row>
    <row r="108" spans="1:10" x14ac:dyDescent="0.25">
      <c r="A108" t="s">
        <v>720</v>
      </c>
      <c r="B108" s="1" t="s">
        <v>1397</v>
      </c>
      <c r="C108">
        <v>5.9</v>
      </c>
      <c r="D108" s="72">
        <f>PRODUCTOS[[#This Row],[V/U VENTA]]*PRODUCTOS[[#This Row],[CANTIDAD]]</f>
        <v>0</v>
      </c>
      <c r="E108">
        <v>5</v>
      </c>
      <c r="F108">
        <v>10</v>
      </c>
      <c r="G108">
        <v>0</v>
      </c>
      <c r="H108">
        <v>1</v>
      </c>
      <c r="I108" t="s">
        <v>1319</v>
      </c>
      <c r="J108" s="72">
        <v>0</v>
      </c>
    </row>
    <row r="109" spans="1:10" x14ac:dyDescent="0.25">
      <c r="A109" t="s">
        <v>721</v>
      </c>
      <c r="B109" s="1" t="s">
        <v>159</v>
      </c>
      <c r="C109">
        <v>6.36</v>
      </c>
      <c r="D109" s="72">
        <f>PRODUCTOS[[#This Row],[V/U VENTA]]*PRODUCTOS[[#This Row],[CANTIDAD]]</f>
        <v>6.36</v>
      </c>
      <c r="E109">
        <v>5</v>
      </c>
      <c r="F109">
        <v>10</v>
      </c>
      <c r="G109">
        <v>1</v>
      </c>
      <c r="H109">
        <v>1</v>
      </c>
      <c r="I109" t="s">
        <v>1319</v>
      </c>
      <c r="J109" s="72">
        <v>0</v>
      </c>
    </row>
    <row r="110" spans="1:10" x14ac:dyDescent="0.25">
      <c r="A110" t="s">
        <v>722</v>
      </c>
      <c r="B110" s="1" t="s">
        <v>364</v>
      </c>
      <c r="C110">
        <v>6.34</v>
      </c>
      <c r="D110" s="72">
        <f>PRODUCTOS[[#This Row],[V/U VENTA]]*PRODUCTOS[[#This Row],[CANTIDAD]]</f>
        <v>31.7</v>
      </c>
      <c r="E110">
        <v>5</v>
      </c>
      <c r="F110">
        <v>10</v>
      </c>
      <c r="G110">
        <v>5</v>
      </c>
      <c r="H110">
        <v>1</v>
      </c>
      <c r="I110" t="s">
        <v>1319</v>
      </c>
      <c r="J110" s="72">
        <v>0</v>
      </c>
    </row>
    <row r="111" spans="1:10" x14ac:dyDescent="0.25">
      <c r="A111" t="s">
        <v>723</v>
      </c>
      <c r="B111" s="1" t="s">
        <v>1398</v>
      </c>
      <c r="C111">
        <v>3.15</v>
      </c>
      <c r="D111" s="72">
        <f>PRODUCTOS[[#This Row],[V/U VENTA]]*PRODUCTOS[[#This Row],[CANTIDAD]]</f>
        <v>6.3</v>
      </c>
      <c r="E111">
        <v>5</v>
      </c>
      <c r="F111">
        <v>10</v>
      </c>
      <c r="G111">
        <v>2</v>
      </c>
      <c r="H111">
        <v>1</v>
      </c>
      <c r="I111" t="s">
        <v>1319</v>
      </c>
      <c r="J111" s="72">
        <v>0</v>
      </c>
    </row>
    <row r="112" spans="1:10" x14ac:dyDescent="0.25">
      <c r="A112" t="s">
        <v>724</v>
      </c>
      <c r="B112" s="1" t="s">
        <v>1399</v>
      </c>
      <c r="C112" s="1">
        <v>0.45</v>
      </c>
      <c r="D112" s="72">
        <f>PRODUCTOS[[#This Row],[V/U VENTA]]*PRODUCTOS[[#This Row],[CANTIDAD]]</f>
        <v>5.8500000000000005</v>
      </c>
      <c r="E112">
        <v>5</v>
      </c>
      <c r="F112">
        <v>10</v>
      </c>
      <c r="G112">
        <v>13</v>
      </c>
      <c r="H112">
        <v>1</v>
      </c>
      <c r="I112" t="s">
        <v>1319</v>
      </c>
      <c r="J112" s="72">
        <v>0</v>
      </c>
    </row>
    <row r="113" spans="1:10" x14ac:dyDescent="0.25">
      <c r="A113" t="s">
        <v>725</v>
      </c>
      <c r="B113" s="1" t="s">
        <v>1400</v>
      </c>
      <c r="C113" s="1">
        <v>2</v>
      </c>
      <c r="D113" s="72">
        <f>PRODUCTOS[[#This Row],[V/U VENTA]]*PRODUCTOS[[#This Row],[CANTIDAD]]</f>
        <v>6</v>
      </c>
      <c r="E113">
        <v>5</v>
      </c>
      <c r="F113">
        <v>10</v>
      </c>
      <c r="G113">
        <v>3</v>
      </c>
      <c r="H113">
        <v>1</v>
      </c>
      <c r="I113" t="s">
        <v>1319</v>
      </c>
      <c r="J113" s="72">
        <v>0</v>
      </c>
    </row>
    <row r="114" spans="1:10" x14ac:dyDescent="0.25">
      <c r="A114" t="s">
        <v>726</v>
      </c>
      <c r="B114" s="1" t="s">
        <v>1401</v>
      </c>
      <c r="C114" s="1">
        <v>2</v>
      </c>
      <c r="D114" s="72">
        <f>PRODUCTOS[[#This Row],[V/U VENTA]]*PRODUCTOS[[#This Row],[CANTIDAD]]</f>
        <v>4</v>
      </c>
      <c r="E114">
        <v>5</v>
      </c>
      <c r="F114">
        <v>10</v>
      </c>
      <c r="G114">
        <v>2</v>
      </c>
      <c r="H114">
        <v>1</v>
      </c>
      <c r="I114" t="s">
        <v>1319</v>
      </c>
      <c r="J114" s="72">
        <v>0</v>
      </c>
    </row>
    <row r="115" spans="1:10" x14ac:dyDescent="0.25">
      <c r="A115" t="s">
        <v>727</v>
      </c>
      <c r="B115" s="1" t="s">
        <v>1402</v>
      </c>
      <c r="C115" s="1">
        <v>3</v>
      </c>
      <c r="D115" s="72">
        <f>PRODUCTOS[[#This Row],[V/U VENTA]]*PRODUCTOS[[#This Row],[CANTIDAD]]</f>
        <v>3</v>
      </c>
      <c r="E115">
        <v>5</v>
      </c>
      <c r="F115">
        <v>10</v>
      </c>
      <c r="G115">
        <v>1</v>
      </c>
      <c r="H115">
        <v>1</v>
      </c>
      <c r="I115" t="s">
        <v>1319</v>
      </c>
      <c r="J115" s="72">
        <v>0</v>
      </c>
    </row>
    <row r="116" spans="1:10" x14ac:dyDescent="0.25">
      <c r="A116" t="s">
        <v>728</v>
      </c>
      <c r="B116" s="1" t="s">
        <v>1403</v>
      </c>
      <c r="C116" s="1">
        <v>2</v>
      </c>
      <c r="D116" s="72">
        <f>PRODUCTOS[[#This Row],[V/U VENTA]]*PRODUCTOS[[#This Row],[CANTIDAD]]</f>
        <v>0</v>
      </c>
      <c r="E116">
        <v>5</v>
      </c>
      <c r="F116">
        <v>10</v>
      </c>
      <c r="G116">
        <v>0</v>
      </c>
      <c r="H116">
        <v>1</v>
      </c>
      <c r="I116" t="s">
        <v>1319</v>
      </c>
      <c r="J116" s="72">
        <v>0</v>
      </c>
    </row>
    <row r="117" spans="1:10" x14ac:dyDescent="0.25">
      <c r="A117" t="s">
        <v>729</v>
      </c>
      <c r="B117" s="1" t="s">
        <v>1404</v>
      </c>
      <c r="C117" s="1">
        <v>5</v>
      </c>
      <c r="D117" s="72">
        <f>PRODUCTOS[[#This Row],[V/U VENTA]]*PRODUCTOS[[#This Row],[CANTIDAD]]</f>
        <v>5</v>
      </c>
      <c r="E117">
        <v>5</v>
      </c>
      <c r="F117">
        <v>10</v>
      </c>
      <c r="G117">
        <v>1</v>
      </c>
      <c r="H117">
        <v>1</v>
      </c>
      <c r="I117" t="s">
        <v>1319</v>
      </c>
      <c r="J117" s="72">
        <v>0</v>
      </c>
    </row>
    <row r="118" spans="1:10" x14ac:dyDescent="0.25">
      <c r="A118" t="s">
        <v>730</v>
      </c>
      <c r="B118" s="1" t="s">
        <v>1405</v>
      </c>
      <c r="C118" s="1">
        <v>2.5</v>
      </c>
      <c r="D118" s="72">
        <f>PRODUCTOS[[#This Row],[V/U VENTA]]*PRODUCTOS[[#This Row],[CANTIDAD]]</f>
        <v>12.5</v>
      </c>
      <c r="E118">
        <v>5</v>
      </c>
      <c r="F118">
        <v>10</v>
      </c>
      <c r="G118">
        <v>5</v>
      </c>
      <c r="H118">
        <v>1</v>
      </c>
      <c r="I118" t="s">
        <v>1319</v>
      </c>
      <c r="J118" s="72">
        <v>0</v>
      </c>
    </row>
    <row r="119" spans="1:10" x14ac:dyDescent="0.25">
      <c r="A119" t="s">
        <v>731</v>
      </c>
      <c r="B119" s="1" t="s">
        <v>361</v>
      </c>
      <c r="C119">
        <v>3.14</v>
      </c>
      <c r="D119" s="72">
        <f>PRODUCTOS[[#This Row],[V/U VENTA]]*PRODUCTOS[[#This Row],[CANTIDAD]]</f>
        <v>0</v>
      </c>
      <c r="E119">
        <v>5</v>
      </c>
      <c r="F119">
        <v>10</v>
      </c>
      <c r="G119">
        <v>0</v>
      </c>
      <c r="H119">
        <v>1</v>
      </c>
      <c r="I119" t="s">
        <v>1319</v>
      </c>
      <c r="J119" s="72">
        <v>0</v>
      </c>
    </row>
    <row r="120" spans="1:10" x14ac:dyDescent="0.25">
      <c r="A120" t="s">
        <v>732</v>
      </c>
      <c r="B120" s="1" t="s">
        <v>288</v>
      </c>
      <c r="C120">
        <v>0.4</v>
      </c>
      <c r="D120" s="72">
        <f>PRODUCTOS[[#This Row],[V/U VENTA]]*PRODUCTOS[[#This Row],[CANTIDAD]]</f>
        <v>12.8</v>
      </c>
      <c r="E120">
        <v>5</v>
      </c>
      <c r="F120">
        <v>10</v>
      </c>
      <c r="G120">
        <v>32</v>
      </c>
      <c r="H120">
        <v>1</v>
      </c>
      <c r="I120" t="s">
        <v>1319</v>
      </c>
      <c r="J120" s="72">
        <v>0</v>
      </c>
    </row>
    <row r="121" spans="1:10" x14ac:dyDescent="0.25">
      <c r="A121" t="s">
        <v>733</v>
      </c>
      <c r="B121" s="1" t="s">
        <v>208</v>
      </c>
      <c r="C121">
        <v>14.5</v>
      </c>
      <c r="D121" s="72">
        <f>PRODUCTOS[[#This Row],[V/U VENTA]]*PRODUCTOS[[#This Row],[CANTIDAD]]</f>
        <v>725</v>
      </c>
      <c r="E121">
        <v>5</v>
      </c>
      <c r="F121">
        <v>10</v>
      </c>
      <c r="G121">
        <v>50</v>
      </c>
      <c r="H121">
        <v>1</v>
      </c>
      <c r="I121" t="s">
        <v>1319</v>
      </c>
      <c r="J121" s="72">
        <v>0</v>
      </c>
    </row>
    <row r="122" spans="1:10" x14ac:dyDescent="0.25">
      <c r="A122" t="s">
        <v>734</v>
      </c>
      <c r="B122" s="1" t="s">
        <v>1406</v>
      </c>
      <c r="C122">
        <v>3.87</v>
      </c>
      <c r="D122" s="72">
        <f>PRODUCTOS[[#This Row],[V/U VENTA]]*PRODUCTOS[[#This Row],[CANTIDAD]]</f>
        <v>3.87</v>
      </c>
      <c r="E122">
        <v>5</v>
      </c>
      <c r="F122">
        <v>10</v>
      </c>
      <c r="G122">
        <v>1</v>
      </c>
      <c r="H122">
        <v>1</v>
      </c>
      <c r="I122" t="s">
        <v>1319</v>
      </c>
      <c r="J122" s="72">
        <v>0</v>
      </c>
    </row>
    <row r="123" spans="1:10" x14ac:dyDescent="0.25">
      <c r="A123" t="s">
        <v>735</v>
      </c>
      <c r="B123" s="1" t="s">
        <v>1407</v>
      </c>
      <c r="C123">
        <v>2.15</v>
      </c>
      <c r="D123" s="72">
        <f>PRODUCTOS[[#This Row],[V/U VENTA]]*PRODUCTOS[[#This Row],[CANTIDAD]]</f>
        <v>0</v>
      </c>
      <c r="E123">
        <v>5</v>
      </c>
      <c r="F123">
        <v>10</v>
      </c>
      <c r="G123">
        <v>0</v>
      </c>
      <c r="H123">
        <v>1</v>
      </c>
      <c r="I123" t="s">
        <v>1319</v>
      </c>
      <c r="J123" s="72">
        <v>0</v>
      </c>
    </row>
    <row r="124" spans="1:10" x14ac:dyDescent="0.25">
      <c r="A124" t="s">
        <v>736</v>
      </c>
      <c r="B124" s="1" t="s">
        <v>1408</v>
      </c>
      <c r="C124">
        <v>6.9</v>
      </c>
      <c r="D124" s="72">
        <f>PRODUCTOS[[#This Row],[V/U VENTA]]*PRODUCTOS[[#This Row],[CANTIDAD]]</f>
        <v>0</v>
      </c>
      <c r="E124">
        <v>5</v>
      </c>
      <c r="F124">
        <v>10</v>
      </c>
      <c r="G124">
        <v>0</v>
      </c>
      <c r="H124">
        <v>1</v>
      </c>
      <c r="I124" t="s">
        <v>1319</v>
      </c>
      <c r="J124" s="72">
        <v>0</v>
      </c>
    </row>
    <row r="125" spans="1:10" x14ac:dyDescent="0.25">
      <c r="A125" t="s">
        <v>737</v>
      </c>
      <c r="B125" s="1" t="s">
        <v>241</v>
      </c>
      <c r="C125">
        <v>7.5</v>
      </c>
      <c r="D125" s="72">
        <f>PRODUCTOS[[#This Row],[V/U VENTA]]*PRODUCTOS[[#This Row],[CANTIDAD]]</f>
        <v>0</v>
      </c>
      <c r="E125">
        <v>5</v>
      </c>
      <c r="F125">
        <v>10</v>
      </c>
      <c r="G125">
        <v>0</v>
      </c>
      <c r="H125">
        <v>1</v>
      </c>
      <c r="I125" t="s">
        <v>1319</v>
      </c>
      <c r="J125" s="72">
        <v>0</v>
      </c>
    </row>
    <row r="126" spans="1:10" x14ac:dyDescent="0.25">
      <c r="A126" t="s">
        <v>738</v>
      </c>
      <c r="B126" s="1" t="s">
        <v>1765</v>
      </c>
      <c r="C126">
        <v>1</v>
      </c>
      <c r="D126" s="72">
        <f>PRODUCTOS[[#This Row],[V/U VENTA]]*PRODUCTOS[[#This Row],[CANTIDAD]]</f>
        <v>6</v>
      </c>
      <c r="E126">
        <v>5</v>
      </c>
      <c r="F126">
        <v>10</v>
      </c>
      <c r="G126">
        <v>6</v>
      </c>
      <c r="H126">
        <v>1</v>
      </c>
      <c r="I126" t="s">
        <v>1319</v>
      </c>
      <c r="J126" s="72">
        <v>0</v>
      </c>
    </row>
    <row r="127" spans="1:10" x14ac:dyDescent="0.25">
      <c r="A127" t="s">
        <v>739</v>
      </c>
      <c r="B127" s="1" t="s">
        <v>304</v>
      </c>
      <c r="C127">
        <v>3.22</v>
      </c>
      <c r="D127" s="72">
        <f>PRODUCTOS[[#This Row],[V/U VENTA]]*PRODUCTOS[[#This Row],[CANTIDAD]]</f>
        <v>6.44</v>
      </c>
      <c r="E127">
        <v>5</v>
      </c>
      <c r="F127">
        <v>10</v>
      </c>
      <c r="G127">
        <v>2</v>
      </c>
      <c r="H127">
        <v>1</v>
      </c>
      <c r="I127" t="s">
        <v>1319</v>
      </c>
      <c r="J127" s="72">
        <v>0</v>
      </c>
    </row>
    <row r="128" spans="1:10" x14ac:dyDescent="0.25">
      <c r="A128" t="s">
        <v>740</v>
      </c>
      <c r="B128" s="1" t="s">
        <v>1409</v>
      </c>
      <c r="C128">
        <v>0.76</v>
      </c>
      <c r="D128" s="72">
        <f>PRODUCTOS[[#This Row],[V/U VENTA]]*PRODUCTOS[[#This Row],[CANTIDAD]]</f>
        <v>15.2</v>
      </c>
      <c r="E128">
        <v>5</v>
      </c>
      <c r="F128">
        <v>10</v>
      </c>
      <c r="G128">
        <v>20</v>
      </c>
      <c r="H128">
        <v>1</v>
      </c>
      <c r="I128" t="s">
        <v>1319</v>
      </c>
      <c r="J128" s="72">
        <v>0</v>
      </c>
    </row>
    <row r="129" spans="1:10" x14ac:dyDescent="0.25">
      <c r="A129" t="s">
        <v>741</v>
      </c>
      <c r="B129" s="1" t="s">
        <v>1410</v>
      </c>
      <c r="C129">
        <v>1</v>
      </c>
      <c r="D129" s="72">
        <f>PRODUCTOS[[#This Row],[V/U VENTA]]*PRODUCTOS[[#This Row],[CANTIDAD]]</f>
        <v>10</v>
      </c>
      <c r="E129">
        <v>5</v>
      </c>
      <c r="F129">
        <v>10</v>
      </c>
      <c r="G129">
        <v>10</v>
      </c>
      <c r="H129">
        <v>1</v>
      </c>
      <c r="I129" t="s">
        <v>1319</v>
      </c>
      <c r="J129" s="72">
        <v>0</v>
      </c>
    </row>
    <row r="130" spans="1:10" x14ac:dyDescent="0.25">
      <c r="A130" t="s">
        <v>742</v>
      </c>
      <c r="B130" s="1" t="s">
        <v>1411</v>
      </c>
      <c r="C130">
        <v>2</v>
      </c>
      <c r="D130" s="72">
        <f>PRODUCTOS[[#This Row],[V/U VENTA]]*PRODUCTOS[[#This Row],[CANTIDAD]]</f>
        <v>10</v>
      </c>
      <c r="E130">
        <v>5</v>
      </c>
      <c r="F130">
        <v>10</v>
      </c>
      <c r="G130">
        <v>5</v>
      </c>
      <c r="H130">
        <v>1</v>
      </c>
      <c r="I130" t="s">
        <v>1319</v>
      </c>
      <c r="J130" s="72">
        <v>0</v>
      </c>
    </row>
    <row r="131" spans="1:10" x14ac:dyDescent="0.25">
      <c r="A131" t="s">
        <v>743</v>
      </c>
      <c r="B131" s="1" t="s">
        <v>164</v>
      </c>
      <c r="C131">
        <v>2.37</v>
      </c>
      <c r="D131" s="72">
        <f>PRODUCTOS[[#This Row],[V/U VENTA]]*PRODUCTOS[[#This Row],[CANTIDAD]]</f>
        <v>9.48</v>
      </c>
      <c r="E131">
        <v>5</v>
      </c>
      <c r="F131">
        <v>10</v>
      </c>
      <c r="G131">
        <v>4</v>
      </c>
      <c r="H131">
        <v>1</v>
      </c>
      <c r="I131" t="s">
        <v>1319</v>
      </c>
      <c r="J131" s="72">
        <v>0</v>
      </c>
    </row>
    <row r="132" spans="1:10" x14ac:dyDescent="0.25">
      <c r="A132" t="s">
        <v>744</v>
      </c>
      <c r="B132" s="1" t="s">
        <v>1412</v>
      </c>
      <c r="C132">
        <v>3</v>
      </c>
      <c r="D132" s="72">
        <f>PRODUCTOS[[#This Row],[V/U VENTA]]*PRODUCTOS[[#This Row],[CANTIDAD]]</f>
        <v>3</v>
      </c>
      <c r="E132">
        <v>5</v>
      </c>
      <c r="F132">
        <v>10</v>
      </c>
      <c r="G132">
        <v>1</v>
      </c>
      <c r="H132">
        <v>1</v>
      </c>
      <c r="I132" t="s">
        <v>1319</v>
      </c>
      <c r="J132" s="72">
        <v>0</v>
      </c>
    </row>
    <row r="133" spans="1:10" x14ac:dyDescent="0.25">
      <c r="A133" t="s">
        <v>745</v>
      </c>
      <c r="B133" s="1" t="s">
        <v>33</v>
      </c>
      <c r="C133">
        <v>1.5</v>
      </c>
      <c r="D133" s="72">
        <f>PRODUCTOS[[#This Row],[V/U VENTA]]*PRODUCTOS[[#This Row],[CANTIDAD]]</f>
        <v>0</v>
      </c>
      <c r="E133">
        <v>5</v>
      </c>
      <c r="F133">
        <v>10</v>
      </c>
      <c r="G133">
        <v>0</v>
      </c>
      <c r="H133">
        <v>1</v>
      </c>
      <c r="I133" t="s">
        <v>1319</v>
      </c>
      <c r="J133" s="72">
        <v>0</v>
      </c>
    </row>
    <row r="134" spans="1:10" x14ac:dyDescent="0.25">
      <c r="A134" t="s">
        <v>746</v>
      </c>
      <c r="B134" s="1" t="s">
        <v>34</v>
      </c>
      <c r="C134">
        <v>1.05</v>
      </c>
      <c r="D134" s="72">
        <f>PRODUCTOS[[#This Row],[V/U VENTA]]*PRODUCTOS[[#This Row],[CANTIDAD]]</f>
        <v>0</v>
      </c>
      <c r="E134">
        <v>5</v>
      </c>
      <c r="F134">
        <v>10</v>
      </c>
      <c r="G134">
        <v>0</v>
      </c>
      <c r="H134">
        <v>1</v>
      </c>
      <c r="I134" t="s">
        <v>1319</v>
      </c>
      <c r="J134" s="72">
        <v>0</v>
      </c>
    </row>
    <row r="135" spans="1:10" x14ac:dyDescent="0.25">
      <c r="A135" t="s">
        <v>747</v>
      </c>
      <c r="B135" s="1" t="s">
        <v>36</v>
      </c>
      <c r="C135">
        <v>5.15</v>
      </c>
      <c r="D135" s="72">
        <f>PRODUCTOS[[#This Row],[V/U VENTA]]*PRODUCTOS[[#This Row],[CANTIDAD]]</f>
        <v>0</v>
      </c>
      <c r="E135">
        <v>5</v>
      </c>
      <c r="F135">
        <v>10</v>
      </c>
      <c r="G135">
        <v>0</v>
      </c>
      <c r="H135">
        <v>1</v>
      </c>
      <c r="I135" t="s">
        <v>1319</v>
      </c>
      <c r="J135" s="72">
        <v>0</v>
      </c>
    </row>
    <row r="136" spans="1:10" x14ac:dyDescent="0.25">
      <c r="A136" t="s">
        <v>748</v>
      </c>
      <c r="B136" s="1" t="s">
        <v>35</v>
      </c>
      <c r="C136">
        <v>0.9</v>
      </c>
      <c r="D136" s="72">
        <f>PRODUCTOS[[#This Row],[V/U VENTA]]*PRODUCTOS[[#This Row],[CANTIDAD]]</f>
        <v>5.4</v>
      </c>
      <c r="E136">
        <v>5</v>
      </c>
      <c r="F136">
        <v>10</v>
      </c>
      <c r="G136">
        <v>6</v>
      </c>
      <c r="H136">
        <v>1</v>
      </c>
      <c r="I136" t="s">
        <v>1319</v>
      </c>
      <c r="J136" s="72">
        <v>0</v>
      </c>
    </row>
    <row r="137" spans="1:10" x14ac:dyDescent="0.25">
      <c r="A137" t="s">
        <v>749</v>
      </c>
      <c r="B137" s="1" t="s">
        <v>356</v>
      </c>
      <c r="C137">
        <v>6.36</v>
      </c>
      <c r="D137" s="72">
        <f>PRODUCTOS[[#This Row],[V/U VENTA]]*PRODUCTOS[[#This Row],[CANTIDAD]]</f>
        <v>19.080000000000002</v>
      </c>
      <c r="E137">
        <v>5</v>
      </c>
      <c r="F137">
        <v>10</v>
      </c>
      <c r="G137">
        <v>3</v>
      </c>
      <c r="H137">
        <v>1</v>
      </c>
      <c r="I137" t="s">
        <v>1319</v>
      </c>
      <c r="J137" s="72">
        <v>0</v>
      </c>
    </row>
    <row r="138" spans="1:10" x14ac:dyDescent="0.25">
      <c r="A138" t="s">
        <v>750</v>
      </c>
      <c r="B138" s="1" t="s">
        <v>167</v>
      </c>
      <c r="C138">
        <v>1.25</v>
      </c>
      <c r="D138" s="72">
        <f>PRODUCTOS[[#This Row],[V/U VENTA]]*PRODUCTOS[[#This Row],[CANTIDAD]]</f>
        <v>0</v>
      </c>
      <c r="E138">
        <v>5</v>
      </c>
      <c r="F138">
        <v>10</v>
      </c>
      <c r="G138">
        <v>0</v>
      </c>
      <c r="H138">
        <v>1</v>
      </c>
      <c r="I138" t="s">
        <v>1319</v>
      </c>
      <c r="J138" s="72">
        <v>0</v>
      </c>
    </row>
    <row r="139" spans="1:10" x14ac:dyDescent="0.25">
      <c r="A139" t="s">
        <v>751</v>
      </c>
      <c r="B139" s="1" t="s">
        <v>166</v>
      </c>
      <c r="C139">
        <v>1.07</v>
      </c>
      <c r="D139" s="72">
        <f>PRODUCTOS[[#This Row],[V/U VENTA]]*PRODUCTOS[[#This Row],[CANTIDAD]]</f>
        <v>6.42</v>
      </c>
      <c r="E139">
        <v>5</v>
      </c>
      <c r="F139">
        <v>10</v>
      </c>
      <c r="G139">
        <v>6</v>
      </c>
      <c r="H139">
        <v>1</v>
      </c>
      <c r="I139" t="s">
        <v>1319</v>
      </c>
      <c r="J139" s="72">
        <v>0</v>
      </c>
    </row>
    <row r="140" spans="1:10" x14ac:dyDescent="0.25">
      <c r="A140" t="s">
        <v>752</v>
      </c>
      <c r="B140" s="1" t="s">
        <v>261</v>
      </c>
      <c r="C140">
        <v>3</v>
      </c>
      <c r="D140" s="72">
        <f>PRODUCTOS[[#This Row],[V/U VENTA]]*PRODUCTOS[[#This Row],[CANTIDAD]]</f>
        <v>3</v>
      </c>
      <c r="E140">
        <v>5</v>
      </c>
      <c r="F140">
        <v>10</v>
      </c>
      <c r="G140">
        <v>1</v>
      </c>
      <c r="H140">
        <v>1</v>
      </c>
      <c r="I140" t="s">
        <v>1319</v>
      </c>
      <c r="J140" s="72">
        <v>0</v>
      </c>
    </row>
    <row r="141" spans="1:10" x14ac:dyDescent="0.25">
      <c r="A141" t="s">
        <v>753</v>
      </c>
      <c r="B141" s="1" t="s">
        <v>40</v>
      </c>
      <c r="C141">
        <v>1.1299999999999999</v>
      </c>
      <c r="D141" s="72">
        <f>PRODUCTOS[[#This Row],[V/U VENTA]]*PRODUCTOS[[#This Row],[CANTIDAD]]</f>
        <v>0</v>
      </c>
      <c r="E141">
        <v>5</v>
      </c>
      <c r="F141">
        <v>10</v>
      </c>
      <c r="G141">
        <v>0</v>
      </c>
      <c r="H141">
        <v>1</v>
      </c>
      <c r="I141" t="s">
        <v>1319</v>
      </c>
      <c r="J141" s="72">
        <v>0</v>
      </c>
    </row>
    <row r="142" spans="1:10" x14ac:dyDescent="0.25">
      <c r="A142" t="s">
        <v>754</v>
      </c>
      <c r="B142" s="1" t="s">
        <v>1413</v>
      </c>
      <c r="C142">
        <v>4</v>
      </c>
      <c r="D142" s="72">
        <f>PRODUCTOS[[#This Row],[V/U VENTA]]*PRODUCTOS[[#This Row],[CANTIDAD]]</f>
        <v>4</v>
      </c>
      <c r="E142">
        <v>5</v>
      </c>
      <c r="F142">
        <v>10</v>
      </c>
      <c r="G142">
        <v>1</v>
      </c>
      <c r="H142">
        <v>1</v>
      </c>
      <c r="I142" t="s">
        <v>1319</v>
      </c>
      <c r="J142" s="72">
        <v>0</v>
      </c>
    </row>
    <row r="143" spans="1:10" x14ac:dyDescent="0.25">
      <c r="A143" t="s">
        <v>755</v>
      </c>
      <c r="B143" s="1" t="s">
        <v>502</v>
      </c>
      <c r="C143">
        <v>0.15</v>
      </c>
      <c r="D143" s="72">
        <f>PRODUCTOS[[#This Row],[V/U VENTA]]*PRODUCTOS[[#This Row],[CANTIDAD]]</f>
        <v>14.85</v>
      </c>
      <c r="E143">
        <v>5</v>
      </c>
      <c r="F143">
        <v>10</v>
      </c>
      <c r="G143">
        <v>99</v>
      </c>
      <c r="H143">
        <v>1</v>
      </c>
      <c r="I143" t="s">
        <v>1319</v>
      </c>
      <c r="J143" s="72">
        <v>0</v>
      </c>
    </row>
    <row r="144" spans="1:10" x14ac:dyDescent="0.25">
      <c r="A144" t="s">
        <v>756</v>
      </c>
      <c r="B144" s="1" t="s">
        <v>501</v>
      </c>
      <c r="C144">
        <v>0.2</v>
      </c>
      <c r="D144" s="72">
        <f>PRODUCTOS[[#This Row],[V/U VENTA]]*PRODUCTOS[[#This Row],[CANTIDAD]]</f>
        <v>20</v>
      </c>
      <c r="E144">
        <v>5</v>
      </c>
      <c r="F144">
        <v>10</v>
      </c>
      <c r="G144">
        <v>100</v>
      </c>
      <c r="H144">
        <v>1</v>
      </c>
      <c r="I144" t="s">
        <v>1319</v>
      </c>
      <c r="J144" s="72">
        <v>0</v>
      </c>
    </row>
    <row r="145" spans="1:10" x14ac:dyDescent="0.25">
      <c r="A145" t="s">
        <v>757</v>
      </c>
      <c r="B145" s="1" t="s">
        <v>60</v>
      </c>
      <c r="C145">
        <v>0.75</v>
      </c>
      <c r="D145" s="72">
        <f>PRODUCTOS[[#This Row],[V/U VENTA]]*PRODUCTOS[[#This Row],[CANTIDAD]]</f>
        <v>1.5</v>
      </c>
      <c r="E145">
        <v>5</v>
      </c>
      <c r="F145">
        <v>10</v>
      </c>
      <c r="G145">
        <v>2</v>
      </c>
      <c r="H145">
        <v>1</v>
      </c>
      <c r="I145" t="s">
        <v>1319</v>
      </c>
      <c r="J145" s="72">
        <v>0</v>
      </c>
    </row>
    <row r="146" spans="1:10" x14ac:dyDescent="0.25">
      <c r="A146" t="s">
        <v>758</v>
      </c>
      <c r="B146" s="1" t="s">
        <v>428</v>
      </c>
      <c r="C146">
        <v>3.55</v>
      </c>
      <c r="D146" s="72">
        <f>PRODUCTOS[[#This Row],[V/U VENTA]]*PRODUCTOS[[#This Row],[CANTIDAD]]</f>
        <v>0</v>
      </c>
      <c r="E146">
        <v>5</v>
      </c>
      <c r="F146">
        <v>10</v>
      </c>
      <c r="G146">
        <v>0</v>
      </c>
      <c r="H146">
        <v>1</v>
      </c>
      <c r="I146" t="s">
        <v>1319</v>
      </c>
      <c r="J146" s="72">
        <v>0</v>
      </c>
    </row>
    <row r="147" spans="1:10" x14ac:dyDescent="0.25">
      <c r="A147" t="s">
        <v>759</v>
      </c>
      <c r="B147" s="1" t="s">
        <v>1766</v>
      </c>
      <c r="C147">
        <v>1</v>
      </c>
      <c r="D147" s="72">
        <f>PRODUCTOS[[#This Row],[V/U VENTA]]*PRODUCTOS[[#This Row],[CANTIDAD]]</f>
        <v>2</v>
      </c>
      <c r="E147">
        <v>5</v>
      </c>
      <c r="F147">
        <v>10</v>
      </c>
      <c r="G147">
        <v>2</v>
      </c>
      <c r="H147">
        <v>1</v>
      </c>
      <c r="I147" t="s">
        <v>1319</v>
      </c>
      <c r="J147" s="72">
        <v>0</v>
      </c>
    </row>
    <row r="148" spans="1:10" x14ac:dyDescent="0.25">
      <c r="A148" t="s">
        <v>760</v>
      </c>
      <c r="B148" s="1" t="s">
        <v>1414</v>
      </c>
      <c r="C148">
        <v>2.25</v>
      </c>
      <c r="D148" s="72">
        <f>PRODUCTOS[[#This Row],[V/U VENTA]]*PRODUCTOS[[#This Row],[CANTIDAD]]</f>
        <v>4.5</v>
      </c>
      <c r="E148">
        <v>5</v>
      </c>
      <c r="F148">
        <v>10</v>
      </c>
      <c r="G148">
        <v>2</v>
      </c>
      <c r="H148">
        <v>1</v>
      </c>
      <c r="I148" t="s">
        <v>1319</v>
      </c>
      <c r="J148" s="72">
        <v>0</v>
      </c>
    </row>
    <row r="149" spans="1:10" x14ac:dyDescent="0.25">
      <c r="A149" t="s">
        <v>761</v>
      </c>
      <c r="B149" s="1" t="s">
        <v>1415</v>
      </c>
      <c r="C149">
        <v>0.5</v>
      </c>
      <c r="D149" s="72">
        <f>PRODUCTOS[[#This Row],[V/U VENTA]]*PRODUCTOS[[#This Row],[CANTIDAD]]</f>
        <v>2.5</v>
      </c>
      <c r="E149">
        <v>5</v>
      </c>
      <c r="F149">
        <v>10</v>
      </c>
      <c r="G149">
        <v>5</v>
      </c>
      <c r="H149">
        <v>1</v>
      </c>
      <c r="I149" t="s">
        <v>1319</v>
      </c>
      <c r="J149" s="72">
        <v>0</v>
      </c>
    </row>
    <row r="150" spans="1:10" x14ac:dyDescent="0.25">
      <c r="A150" t="s">
        <v>762</v>
      </c>
      <c r="B150" s="1" t="s">
        <v>1416</v>
      </c>
      <c r="C150">
        <v>0.5</v>
      </c>
      <c r="D150" s="72">
        <f>PRODUCTOS[[#This Row],[V/U VENTA]]*PRODUCTOS[[#This Row],[CANTIDAD]]</f>
        <v>2.5</v>
      </c>
      <c r="E150">
        <v>5</v>
      </c>
      <c r="F150">
        <v>10</v>
      </c>
      <c r="G150">
        <v>5</v>
      </c>
      <c r="H150">
        <v>1</v>
      </c>
      <c r="I150" t="s">
        <v>1319</v>
      </c>
      <c r="J150" s="72">
        <v>0</v>
      </c>
    </row>
    <row r="151" spans="1:10" x14ac:dyDescent="0.25">
      <c r="A151" t="s">
        <v>763</v>
      </c>
      <c r="B151" s="1" t="s">
        <v>1417</v>
      </c>
      <c r="C151">
        <v>1</v>
      </c>
      <c r="D151" s="72">
        <f>PRODUCTOS[[#This Row],[V/U VENTA]]*PRODUCTOS[[#This Row],[CANTIDAD]]</f>
        <v>3</v>
      </c>
      <c r="E151">
        <v>5</v>
      </c>
      <c r="F151">
        <v>10</v>
      </c>
      <c r="G151">
        <v>3</v>
      </c>
      <c r="H151">
        <v>1</v>
      </c>
      <c r="I151" t="s">
        <v>1319</v>
      </c>
      <c r="J151" s="72">
        <v>0</v>
      </c>
    </row>
    <row r="152" spans="1:10" x14ac:dyDescent="0.25">
      <c r="A152" t="s">
        <v>764</v>
      </c>
      <c r="B152" s="1" t="s">
        <v>532</v>
      </c>
      <c r="C152">
        <v>0.5</v>
      </c>
      <c r="D152" s="72">
        <f>PRODUCTOS[[#This Row],[V/U VENTA]]*PRODUCTOS[[#This Row],[CANTIDAD]]</f>
        <v>3</v>
      </c>
      <c r="E152">
        <v>5</v>
      </c>
      <c r="F152">
        <v>10</v>
      </c>
      <c r="G152">
        <v>6</v>
      </c>
      <c r="H152">
        <v>1</v>
      </c>
      <c r="I152" t="s">
        <v>1319</v>
      </c>
      <c r="J152" s="72">
        <v>0</v>
      </c>
    </row>
    <row r="153" spans="1:10" x14ac:dyDescent="0.25">
      <c r="A153" t="s">
        <v>765</v>
      </c>
      <c r="B153" s="1" t="s">
        <v>1418</v>
      </c>
      <c r="C153">
        <v>5</v>
      </c>
      <c r="D153" s="72">
        <f>PRODUCTOS[[#This Row],[V/U VENTA]]*PRODUCTOS[[#This Row],[CANTIDAD]]</f>
        <v>5</v>
      </c>
      <c r="E153">
        <v>5</v>
      </c>
      <c r="F153">
        <v>10</v>
      </c>
      <c r="G153">
        <v>1</v>
      </c>
      <c r="H153">
        <v>1</v>
      </c>
      <c r="I153" t="s">
        <v>1319</v>
      </c>
      <c r="J153" s="72">
        <v>0</v>
      </c>
    </row>
    <row r="154" spans="1:10" x14ac:dyDescent="0.25">
      <c r="A154" t="s">
        <v>766</v>
      </c>
      <c r="B154" s="1" t="s">
        <v>611</v>
      </c>
      <c r="C154">
        <v>2.1</v>
      </c>
      <c r="D154" s="72">
        <f>PRODUCTOS[[#This Row],[V/U VENTA]]*PRODUCTOS[[#This Row],[CANTIDAD]]</f>
        <v>0</v>
      </c>
      <c r="E154">
        <v>5</v>
      </c>
      <c r="F154">
        <v>10</v>
      </c>
      <c r="G154">
        <v>0</v>
      </c>
      <c r="H154">
        <v>1</v>
      </c>
      <c r="I154" t="s">
        <v>1319</v>
      </c>
      <c r="J154" s="72">
        <v>0</v>
      </c>
    </row>
    <row r="155" spans="1:10" x14ac:dyDescent="0.25">
      <c r="A155" t="s">
        <v>767</v>
      </c>
      <c r="B155" s="1" t="s">
        <v>39</v>
      </c>
      <c r="C155">
        <v>0.25</v>
      </c>
      <c r="D155" s="72">
        <f>PRODUCTOS[[#This Row],[V/U VENTA]]*PRODUCTOS[[#This Row],[CANTIDAD]]</f>
        <v>1</v>
      </c>
      <c r="E155">
        <v>5</v>
      </c>
      <c r="F155">
        <v>10</v>
      </c>
      <c r="G155">
        <v>4</v>
      </c>
      <c r="H155">
        <v>1</v>
      </c>
      <c r="I155" t="s">
        <v>1319</v>
      </c>
      <c r="J155" s="72">
        <v>0</v>
      </c>
    </row>
    <row r="156" spans="1:10" x14ac:dyDescent="0.25">
      <c r="A156" t="s">
        <v>768</v>
      </c>
      <c r="B156" s="1" t="s">
        <v>37</v>
      </c>
      <c r="C156">
        <v>0.4</v>
      </c>
      <c r="D156" s="72">
        <f>PRODUCTOS[[#This Row],[V/U VENTA]]*PRODUCTOS[[#This Row],[CANTIDAD]]</f>
        <v>8</v>
      </c>
      <c r="E156">
        <v>5</v>
      </c>
      <c r="F156">
        <v>10</v>
      </c>
      <c r="G156">
        <v>20</v>
      </c>
      <c r="H156">
        <v>1</v>
      </c>
      <c r="I156" t="s">
        <v>1319</v>
      </c>
      <c r="J156" s="72">
        <v>0</v>
      </c>
    </row>
    <row r="157" spans="1:10" x14ac:dyDescent="0.25">
      <c r="A157" t="s">
        <v>769</v>
      </c>
      <c r="B157" s="1" t="s">
        <v>38</v>
      </c>
      <c r="C157">
        <v>0.6</v>
      </c>
      <c r="D157" s="72">
        <f>PRODUCTOS[[#This Row],[V/U VENTA]]*PRODUCTOS[[#This Row],[CANTIDAD]]</f>
        <v>7.8</v>
      </c>
      <c r="E157">
        <v>5</v>
      </c>
      <c r="F157">
        <v>10</v>
      </c>
      <c r="G157">
        <v>13</v>
      </c>
      <c r="H157">
        <v>1</v>
      </c>
      <c r="I157" t="s">
        <v>1319</v>
      </c>
      <c r="J157" s="72">
        <v>0</v>
      </c>
    </row>
    <row r="158" spans="1:10" x14ac:dyDescent="0.25">
      <c r="A158" t="s">
        <v>770</v>
      </c>
      <c r="B158" s="1" t="s">
        <v>360</v>
      </c>
      <c r="C158">
        <v>5.88</v>
      </c>
      <c r="D158" s="72">
        <f>PRODUCTOS[[#This Row],[V/U VENTA]]*PRODUCTOS[[#This Row],[CANTIDAD]]</f>
        <v>5.88</v>
      </c>
      <c r="E158">
        <v>5</v>
      </c>
      <c r="F158">
        <v>10</v>
      </c>
      <c r="G158">
        <v>1</v>
      </c>
      <c r="H158">
        <v>1</v>
      </c>
      <c r="I158" t="s">
        <v>1319</v>
      </c>
      <c r="J158" s="72">
        <v>0</v>
      </c>
    </row>
    <row r="159" spans="1:10" x14ac:dyDescent="0.25">
      <c r="A159" t="s">
        <v>771</v>
      </c>
      <c r="B159" s="1" t="s">
        <v>377</v>
      </c>
      <c r="C159">
        <v>3.6</v>
      </c>
      <c r="D159" s="72">
        <f>PRODUCTOS[[#This Row],[V/U VENTA]]*PRODUCTOS[[#This Row],[CANTIDAD]]</f>
        <v>7.2</v>
      </c>
      <c r="E159">
        <v>5</v>
      </c>
      <c r="F159">
        <v>10</v>
      </c>
      <c r="G159">
        <v>2</v>
      </c>
      <c r="H159">
        <v>1</v>
      </c>
      <c r="I159" t="s">
        <v>1319</v>
      </c>
      <c r="J159" s="72">
        <v>0</v>
      </c>
    </row>
    <row r="160" spans="1:10" x14ac:dyDescent="0.25">
      <c r="A160" t="s">
        <v>772</v>
      </c>
      <c r="B160" s="1" t="s">
        <v>359</v>
      </c>
      <c r="C160">
        <v>3.99</v>
      </c>
      <c r="D160" s="72">
        <f>PRODUCTOS[[#This Row],[V/U VENTA]]*PRODUCTOS[[#This Row],[CANTIDAD]]</f>
        <v>3.99</v>
      </c>
      <c r="E160">
        <v>5</v>
      </c>
      <c r="F160">
        <v>10</v>
      </c>
      <c r="G160">
        <v>1</v>
      </c>
      <c r="H160">
        <v>1</v>
      </c>
      <c r="I160" t="s">
        <v>1319</v>
      </c>
      <c r="J160" s="72">
        <v>0</v>
      </c>
    </row>
    <row r="161" spans="1:10" x14ac:dyDescent="0.25">
      <c r="A161" t="s">
        <v>773</v>
      </c>
      <c r="B161" s="1" t="s">
        <v>321</v>
      </c>
      <c r="C161">
        <v>0.55000000000000004</v>
      </c>
      <c r="D161" s="72">
        <f>PRODUCTOS[[#This Row],[V/U VENTA]]*PRODUCTOS[[#This Row],[CANTIDAD]]</f>
        <v>26.400000000000002</v>
      </c>
      <c r="E161">
        <v>5</v>
      </c>
      <c r="F161">
        <v>10</v>
      </c>
      <c r="G161">
        <v>48</v>
      </c>
      <c r="H161">
        <v>1</v>
      </c>
      <c r="I161" t="s">
        <v>1319</v>
      </c>
      <c r="J161" s="72">
        <v>0</v>
      </c>
    </row>
    <row r="162" spans="1:10" x14ac:dyDescent="0.25">
      <c r="A162" t="s">
        <v>774</v>
      </c>
      <c r="B162" s="1" t="s">
        <v>1767</v>
      </c>
      <c r="C162">
        <v>3</v>
      </c>
      <c r="D162" s="72">
        <f>PRODUCTOS[[#This Row],[V/U VENTA]]*PRODUCTOS[[#This Row],[CANTIDAD]]</f>
        <v>12</v>
      </c>
      <c r="E162">
        <v>5</v>
      </c>
      <c r="F162">
        <v>10</v>
      </c>
      <c r="G162">
        <v>4</v>
      </c>
      <c r="H162">
        <v>1</v>
      </c>
      <c r="I162" t="s">
        <v>1319</v>
      </c>
      <c r="J162" s="72">
        <v>0</v>
      </c>
    </row>
    <row r="163" spans="1:10" x14ac:dyDescent="0.25">
      <c r="A163" t="s">
        <v>775</v>
      </c>
      <c r="B163" s="1" t="s">
        <v>500</v>
      </c>
      <c r="C163">
        <v>8.5</v>
      </c>
      <c r="D163" s="72">
        <f>PRODUCTOS[[#This Row],[V/U VENTA]]*PRODUCTOS[[#This Row],[CANTIDAD]]</f>
        <v>0</v>
      </c>
      <c r="E163">
        <v>5</v>
      </c>
      <c r="F163">
        <v>10</v>
      </c>
      <c r="G163">
        <v>0</v>
      </c>
      <c r="H163">
        <v>1</v>
      </c>
      <c r="I163" t="s">
        <v>1319</v>
      </c>
      <c r="J163" s="72">
        <v>0</v>
      </c>
    </row>
    <row r="164" spans="1:10" x14ac:dyDescent="0.25">
      <c r="A164" t="s">
        <v>776</v>
      </c>
      <c r="B164" s="1" t="s">
        <v>189</v>
      </c>
      <c r="C164">
        <v>9.3000000000000007</v>
      </c>
      <c r="D164" s="72">
        <f>PRODUCTOS[[#This Row],[V/U VENTA]]*PRODUCTOS[[#This Row],[CANTIDAD]]</f>
        <v>0</v>
      </c>
      <c r="E164">
        <v>5</v>
      </c>
      <c r="F164">
        <v>10</v>
      </c>
      <c r="G164">
        <v>0</v>
      </c>
      <c r="H164">
        <v>1</v>
      </c>
      <c r="I164" t="s">
        <v>1319</v>
      </c>
      <c r="J164" s="72">
        <v>0</v>
      </c>
    </row>
    <row r="165" spans="1:10" x14ac:dyDescent="0.25">
      <c r="A165" t="s">
        <v>777</v>
      </c>
      <c r="B165" s="1" t="s">
        <v>192</v>
      </c>
      <c r="C165">
        <v>12.95</v>
      </c>
      <c r="D165" s="72">
        <f>PRODUCTOS[[#This Row],[V/U VENTA]]*PRODUCTOS[[#This Row],[CANTIDAD]]</f>
        <v>12.95</v>
      </c>
      <c r="E165">
        <v>5</v>
      </c>
      <c r="F165">
        <v>10</v>
      </c>
      <c r="G165">
        <v>1</v>
      </c>
      <c r="H165">
        <v>1</v>
      </c>
      <c r="I165" t="s">
        <v>1319</v>
      </c>
      <c r="J165" s="72">
        <v>0</v>
      </c>
    </row>
    <row r="166" spans="1:10" x14ac:dyDescent="0.25">
      <c r="A166" t="s">
        <v>778</v>
      </c>
      <c r="B166" s="1" t="s">
        <v>191</v>
      </c>
      <c r="C166">
        <v>7.87</v>
      </c>
      <c r="D166" s="72">
        <f>PRODUCTOS[[#This Row],[V/U VENTA]]*PRODUCTOS[[#This Row],[CANTIDAD]]</f>
        <v>0</v>
      </c>
      <c r="E166">
        <v>5</v>
      </c>
      <c r="F166">
        <v>10</v>
      </c>
      <c r="G166">
        <v>0</v>
      </c>
      <c r="H166">
        <v>1</v>
      </c>
      <c r="I166" t="s">
        <v>1319</v>
      </c>
      <c r="J166" s="72">
        <v>0</v>
      </c>
    </row>
    <row r="167" spans="1:10" x14ac:dyDescent="0.25">
      <c r="A167" t="s">
        <v>779</v>
      </c>
      <c r="B167" s="1" t="s">
        <v>440</v>
      </c>
      <c r="C167">
        <v>7.85</v>
      </c>
      <c r="D167" s="72">
        <f>PRODUCTOS[[#This Row],[V/U VENTA]]*PRODUCTOS[[#This Row],[CANTIDAD]]</f>
        <v>0</v>
      </c>
      <c r="E167">
        <v>5</v>
      </c>
      <c r="F167">
        <v>10</v>
      </c>
      <c r="G167">
        <v>0</v>
      </c>
      <c r="H167">
        <v>1</v>
      </c>
      <c r="I167" t="s">
        <v>1319</v>
      </c>
      <c r="J167" s="72">
        <v>0</v>
      </c>
    </row>
    <row r="168" spans="1:10" x14ac:dyDescent="0.25">
      <c r="A168" t="s">
        <v>780</v>
      </c>
      <c r="B168" s="1" t="s">
        <v>142</v>
      </c>
      <c r="C168">
        <v>3.6</v>
      </c>
      <c r="D168" s="72">
        <f>PRODUCTOS[[#This Row],[V/U VENTA]]*PRODUCTOS[[#This Row],[CANTIDAD]]</f>
        <v>7.2</v>
      </c>
      <c r="E168">
        <v>5</v>
      </c>
      <c r="F168">
        <v>10</v>
      </c>
      <c r="G168">
        <v>2</v>
      </c>
      <c r="H168">
        <v>1</v>
      </c>
      <c r="I168" t="s">
        <v>1319</v>
      </c>
      <c r="J168" s="72">
        <v>0</v>
      </c>
    </row>
    <row r="169" spans="1:10" x14ac:dyDescent="0.25">
      <c r="A169" t="s">
        <v>781</v>
      </c>
      <c r="B169" s="1" t="s">
        <v>143</v>
      </c>
      <c r="C169">
        <v>0.22</v>
      </c>
      <c r="D169" s="72">
        <f>PRODUCTOS[[#This Row],[V/U VENTA]]*PRODUCTOS[[#This Row],[CANTIDAD]]</f>
        <v>6.38</v>
      </c>
      <c r="E169">
        <v>5</v>
      </c>
      <c r="F169">
        <v>10</v>
      </c>
      <c r="G169">
        <v>29</v>
      </c>
      <c r="H169">
        <v>1</v>
      </c>
      <c r="I169" t="s">
        <v>1319</v>
      </c>
      <c r="J169" s="72">
        <v>0</v>
      </c>
    </row>
    <row r="170" spans="1:10" x14ac:dyDescent="0.25">
      <c r="A170" t="s">
        <v>782</v>
      </c>
      <c r="B170" s="1" t="s">
        <v>200</v>
      </c>
      <c r="C170">
        <v>0.15</v>
      </c>
      <c r="D170" s="72">
        <f>PRODUCTOS[[#This Row],[V/U VENTA]]*PRODUCTOS[[#This Row],[CANTIDAD]]</f>
        <v>6</v>
      </c>
      <c r="E170">
        <v>5</v>
      </c>
      <c r="F170">
        <v>10</v>
      </c>
      <c r="G170">
        <v>40</v>
      </c>
      <c r="H170">
        <v>1</v>
      </c>
      <c r="I170" t="s">
        <v>1319</v>
      </c>
      <c r="J170" s="72">
        <v>0</v>
      </c>
    </row>
    <row r="171" spans="1:10" x14ac:dyDescent="0.25">
      <c r="A171" t="s">
        <v>783</v>
      </c>
      <c r="B171" s="1" t="s">
        <v>201</v>
      </c>
      <c r="C171">
        <v>0.2</v>
      </c>
      <c r="D171" s="72">
        <f>PRODUCTOS[[#This Row],[V/U VENTA]]*PRODUCTOS[[#This Row],[CANTIDAD]]</f>
        <v>8</v>
      </c>
      <c r="E171">
        <v>5</v>
      </c>
      <c r="F171">
        <v>10</v>
      </c>
      <c r="G171">
        <v>40</v>
      </c>
      <c r="H171">
        <v>1</v>
      </c>
      <c r="I171" t="s">
        <v>1319</v>
      </c>
      <c r="J171" s="72">
        <v>0</v>
      </c>
    </row>
    <row r="172" spans="1:10" x14ac:dyDescent="0.25">
      <c r="A172" t="s">
        <v>784</v>
      </c>
      <c r="B172" s="1" t="s">
        <v>198</v>
      </c>
      <c r="C172">
        <v>0.45</v>
      </c>
      <c r="D172" s="72">
        <f>PRODUCTOS[[#This Row],[V/U VENTA]]*PRODUCTOS[[#This Row],[CANTIDAD]]</f>
        <v>13.5</v>
      </c>
      <c r="E172">
        <v>5</v>
      </c>
      <c r="F172">
        <v>10</v>
      </c>
      <c r="G172">
        <v>30</v>
      </c>
      <c r="H172">
        <v>1</v>
      </c>
      <c r="I172" t="s">
        <v>1319</v>
      </c>
      <c r="J172" s="72">
        <v>0</v>
      </c>
    </row>
    <row r="173" spans="1:10" x14ac:dyDescent="0.25">
      <c r="A173" t="s">
        <v>785</v>
      </c>
      <c r="B173" s="1" t="s">
        <v>608</v>
      </c>
      <c r="C173">
        <v>0.25</v>
      </c>
      <c r="D173" s="72">
        <f>PRODUCTOS[[#This Row],[V/U VENTA]]*PRODUCTOS[[#This Row],[CANTIDAD]]</f>
        <v>0</v>
      </c>
      <c r="E173">
        <v>5</v>
      </c>
      <c r="F173">
        <v>10</v>
      </c>
      <c r="G173">
        <v>0</v>
      </c>
      <c r="H173">
        <v>1</v>
      </c>
      <c r="I173" t="s">
        <v>1319</v>
      </c>
      <c r="J173" s="72">
        <v>0</v>
      </c>
    </row>
    <row r="174" spans="1:10" x14ac:dyDescent="0.25">
      <c r="A174" t="s">
        <v>786</v>
      </c>
      <c r="B174" s="1" t="s">
        <v>1419</v>
      </c>
      <c r="C174">
        <v>3.5</v>
      </c>
      <c r="D174" s="72">
        <f>PRODUCTOS[[#This Row],[V/U VENTA]]*PRODUCTOS[[#This Row],[CANTIDAD]]</f>
        <v>3.5</v>
      </c>
      <c r="E174">
        <v>5</v>
      </c>
      <c r="F174">
        <v>10</v>
      </c>
      <c r="G174">
        <v>1</v>
      </c>
      <c r="H174">
        <v>1</v>
      </c>
      <c r="I174" t="s">
        <v>1319</v>
      </c>
      <c r="J174" s="72">
        <v>0</v>
      </c>
    </row>
    <row r="175" spans="1:10" x14ac:dyDescent="0.25">
      <c r="A175" t="s">
        <v>787</v>
      </c>
      <c r="B175" s="1" t="s">
        <v>145</v>
      </c>
      <c r="C175">
        <v>0.32</v>
      </c>
      <c r="D175" s="72">
        <f>PRODUCTOS[[#This Row],[V/U VENTA]]*PRODUCTOS[[#This Row],[CANTIDAD]]</f>
        <v>12.8</v>
      </c>
      <c r="E175">
        <v>5</v>
      </c>
      <c r="F175">
        <v>10</v>
      </c>
      <c r="G175">
        <v>40</v>
      </c>
      <c r="H175">
        <v>1</v>
      </c>
      <c r="I175" t="s">
        <v>1319</v>
      </c>
      <c r="J175" s="72">
        <v>0</v>
      </c>
    </row>
    <row r="176" spans="1:10" x14ac:dyDescent="0.25">
      <c r="A176" t="s">
        <v>788</v>
      </c>
      <c r="B176" s="1" t="s">
        <v>1420</v>
      </c>
      <c r="C176">
        <v>6</v>
      </c>
      <c r="D176" s="72">
        <f>PRODUCTOS[[#This Row],[V/U VENTA]]*PRODUCTOS[[#This Row],[CANTIDAD]]</f>
        <v>24</v>
      </c>
      <c r="E176">
        <v>5</v>
      </c>
      <c r="F176">
        <v>10</v>
      </c>
      <c r="G176">
        <v>4</v>
      </c>
      <c r="H176">
        <v>1</v>
      </c>
      <c r="I176" t="s">
        <v>1319</v>
      </c>
      <c r="J176" s="72">
        <v>0</v>
      </c>
    </row>
    <row r="177" spans="1:10" x14ac:dyDescent="0.25">
      <c r="A177" t="s">
        <v>789</v>
      </c>
      <c r="B177" s="1" t="s">
        <v>508</v>
      </c>
      <c r="C177">
        <v>1.1499999999999999</v>
      </c>
      <c r="D177" s="72">
        <f>PRODUCTOS[[#This Row],[V/U VENTA]]*PRODUCTOS[[#This Row],[CANTIDAD]]</f>
        <v>55.199999999999996</v>
      </c>
      <c r="E177">
        <v>5</v>
      </c>
      <c r="F177">
        <v>10</v>
      </c>
      <c r="G177">
        <v>48</v>
      </c>
      <c r="H177">
        <v>1</v>
      </c>
      <c r="I177" t="s">
        <v>1319</v>
      </c>
      <c r="J177" s="72">
        <v>0</v>
      </c>
    </row>
    <row r="178" spans="1:10" x14ac:dyDescent="0.25">
      <c r="A178" t="s">
        <v>790</v>
      </c>
      <c r="B178" s="1" t="s">
        <v>498</v>
      </c>
      <c r="C178">
        <v>1.1499999999999999</v>
      </c>
      <c r="D178" s="72">
        <f>PRODUCTOS[[#This Row],[V/U VENTA]]*PRODUCTOS[[#This Row],[CANTIDAD]]</f>
        <v>57.499999999999993</v>
      </c>
      <c r="E178">
        <v>5</v>
      </c>
      <c r="F178">
        <v>10</v>
      </c>
      <c r="G178">
        <v>50</v>
      </c>
      <c r="H178">
        <v>1</v>
      </c>
      <c r="I178" t="s">
        <v>1319</v>
      </c>
      <c r="J178" s="72">
        <v>0</v>
      </c>
    </row>
    <row r="179" spans="1:10" x14ac:dyDescent="0.25">
      <c r="A179" t="s">
        <v>791</v>
      </c>
      <c r="B179" s="1" t="s">
        <v>499</v>
      </c>
      <c r="C179">
        <v>1.25</v>
      </c>
      <c r="D179" s="72">
        <f>PRODUCTOS[[#This Row],[V/U VENTA]]*PRODUCTOS[[#This Row],[CANTIDAD]]</f>
        <v>57.5</v>
      </c>
      <c r="E179">
        <v>5</v>
      </c>
      <c r="F179">
        <v>10</v>
      </c>
      <c r="G179">
        <v>46</v>
      </c>
      <c r="H179">
        <v>1</v>
      </c>
      <c r="I179" t="s">
        <v>1319</v>
      </c>
      <c r="J179" s="72">
        <v>0</v>
      </c>
    </row>
    <row r="180" spans="1:10" x14ac:dyDescent="0.25">
      <c r="A180" t="s">
        <v>792</v>
      </c>
      <c r="B180" s="1" t="s">
        <v>238</v>
      </c>
      <c r="C180">
        <v>3.17</v>
      </c>
      <c r="D180" s="72">
        <f>PRODUCTOS[[#This Row],[V/U VENTA]]*PRODUCTOS[[#This Row],[CANTIDAD]]</f>
        <v>6.34</v>
      </c>
      <c r="E180">
        <v>5</v>
      </c>
      <c r="F180">
        <v>10</v>
      </c>
      <c r="G180">
        <v>2</v>
      </c>
      <c r="H180">
        <v>1</v>
      </c>
      <c r="I180" t="s">
        <v>1319</v>
      </c>
      <c r="J180" s="72">
        <v>0</v>
      </c>
    </row>
    <row r="181" spans="1:10" x14ac:dyDescent="0.25">
      <c r="A181" t="s">
        <v>793</v>
      </c>
      <c r="B181" s="1" t="s">
        <v>119</v>
      </c>
      <c r="C181">
        <v>1.75</v>
      </c>
      <c r="D181" s="72">
        <f>PRODUCTOS[[#This Row],[V/U VENTA]]*PRODUCTOS[[#This Row],[CANTIDAD]]</f>
        <v>15.75</v>
      </c>
      <c r="E181">
        <v>5</v>
      </c>
      <c r="F181">
        <v>10</v>
      </c>
      <c r="G181">
        <v>9</v>
      </c>
      <c r="H181">
        <v>1</v>
      </c>
      <c r="I181" t="s">
        <v>1319</v>
      </c>
      <c r="J181" s="72">
        <v>0</v>
      </c>
    </row>
    <row r="182" spans="1:10" x14ac:dyDescent="0.25">
      <c r="A182" t="s">
        <v>794</v>
      </c>
      <c r="B182" s="1" t="s">
        <v>1421</v>
      </c>
      <c r="C182">
        <v>1.5</v>
      </c>
      <c r="D182" s="72">
        <f>PRODUCTOS[[#This Row],[V/U VENTA]]*PRODUCTOS[[#This Row],[CANTIDAD]]</f>
        <v>25.5</v>
      </c>
      <c r="E182">
        <v>5</v>
      </c>
      <c r="F182">
        <v>10</v>
      </c>
      <c r="G182">
        <v>17</v>
      </c>
      <c r="H182">
        <v>1</v>
      </c>
      <c r="I182" t="s">
        <v>1319</v>
      </c>
      <c r="J182" s="72">
        <v>0</v>
      </c>
    </row>
    <row r="183" spans="1:10" x14ac:dyDescent="0.25">
      <c r="A183" t="s">
        <v>795</v>
      </c>
      <c r="B183" s="1" t="s">
        <v>358</v>
      </c>
      <c r="C183">
        <v>3.82</v>
      </c>
      <c r="D183" s="72">
        <f>PRODUCTOS[[#This Row],[V/U VENTA]]*PRODUCTOS[[#This Row],[CANTIDAD]]</f>
        <v>3.82</v>
      </c>
      <c r="E183">
        <v>5</v>
      </c>
      <c r="F183">
        <v>10</v>
      </c>
      <c r="G183">
        <v>1</v>
      </c>
      <c r="H183">
        <v>1</v>
      </c>
      <c r="I183" t="s">
        <v>1319</v>
      </c>
      <c r="J183" s="72">
        <v>0</v>
      </c>
    </row>
    <row r="184" spans="1:10" x14ac:dyDescent="0.25">
      <c r="A184" t="s">
        <v>796</v>
      </c>
      <c r="B184" s="1" t="s">
        <v>1422</v>
      </c>
      <c r="C184">
        <v>4.75</v>
      </c>
      <c r="D184" s="72">
        <f>PRODUCTOS[[#This Row],[V/U VENTA]]*PRODUCTOS[[#This Row],[CANTIDAD]]</f>
        <v>9.5</v>
      </c>
      <c r="E184">
        <v>5</v>
      </c>
      <c r="F184">
        <v>10</v>
      </c>
      <c r="G184">
        <v>2</v>
      </c>
      <c r="H184">
        <v>1</v>
      </c>
      <c r="I184" t="s">
        <v>1319</v>
      </c>
      <c r="J184" s="72">
        <v>0</v>
      </c>
    </row>
    <row r="185" spans="1:10" x14ac:dyDescent="0.25">
      <c r="A185" t="s">
        <v>797</v>
      </c>
      <c r="B185" s="1" t="s">
        <v>163</v>
      </c>
      <c r="C185">
        <v>0.5</v>
      </c>
      <c r="D185" s="72">
        <f>PRODUCTOS[[#This Row],[V/U VENTA]]*PRODUCTOS[[#This Row],[CANTIDAD]]</f>
        <v>5</v>
      </c>
      <c r="E185">
        <v>5</v>
      </c>
      <c r="F185">
        <v>10</v>
      </c>
      <c r="G185">
        <v>10</v>
      </c>
      <c r="H185">
        <v>1</v>
      </c>
      <c r="I185" t="s">
        <v>1319</v>
      </c>
      <c r="J185" s="72">
        <v>0</v>
      </c>
    </row>
    <row r="186" spans="1:10" x14ac:dyDescent="0.25">
      <c r="A186" t="s">
        <v>798</v>
      </c>
      <c r="B186" s="1" t="s">
        <v>1768</v>
      </c>
      <c r="C186">
        <v>0.5</v>
      </c>
      <c r="D186" s="72">
        <f>PRODUCTOS[[#This Row],[V/U VENTA]]*PRODUCTOS[[#This Row],[CANTIDAD]]</f>
        <v>23</v>
      </c>
      <c r="E186">
        <v>5</v>
      </c>
      <c r="F186">
        <v>10</v>
      </c>
      <c r="G186">
        <v>46</v>
      </c>
      <c r="H186">
        <v>1</v>
      </c>
      <c r="I186" t="s">
        <v>1319</v>
      </c>
      <c r="J186" s="72">
        <v>0</v>
      </c>
    </row>
    <row r="187" spans="1:10" x14ac:dyDescent="0.25">
      <c r="A187" t="s">
        <v>799</v>
      </c>
      <c r="B187" s="1" t="s">
        <v>549</v>
      </c>
      <c r="C187">
        <v>8</v>
      </c>
      <c r="D187" s="72">
        <f>PRODUCTOS[[#This Row],[V/U VENTA]]*PRODUCTOS[[#This Row],[CANTIDAD]]</f>
        <v>40</v>
      </c>
      <c r="E187">
        <v>5</v>
      </c>
      <c r="F187">
        <v>10</v>
      </c>
      <c r="G187">
        <v>5</v>
      </c>
      <c r="H187">
        <v>1</v>
      </c>
      <c r="I187" t="s">
        <v>1319</v>
      </c>
      <c r="J187" s="72">
        <v>0</v>
      </c>
    </row>
    <row r="188" spans="1:10" x14ac:dyDescent="0.25">
      <c r="A188" t="s">
        <v>800</v>
      </c>
      <c r="B188" s="1" t="s">
        <v>362</v>
      </c>
      <c r="C188">
        <v>14.17</v>
      </c>
      <c r="D188" s="72">
        <f>PRODUCTOS[[#This Row],[V/U VENTA]]*PRODUCTOS[[#This Row],[CANTIDAD]]</f>
        <v>56.68</v>
      </c>
      <c r="E188">
        <v>5</v>
      </c>
      <c r="F188">
        <v>10</v>
      </c>
      <c r="G188">
        <v>4</v>
      </c>
      <c r="H188">
        <v>1</v>
      </c>
      <c r="I188" t="s">
        <v>1319</v>
      </c>
      <c r="J188" s="72">
        <v>0</v>
      </c>
    </row>
    <row r="189" spans="1:10" x14ac:dyDescent="0.25">
      <c r="A189" t="s">
        <v>801</v>
      </c>
      <c r="B189" s="1" t="s">
        <v>162</v>
      </c>
      <c r="C189">
        <v>1.3</v>
      </c>
      <c r="D189" s="72">
        <f>PRODUCTOS[[#This Row],[V/U VENTA]]*PRODUCTOS[[#This Row],[CANTIDAD]]</f>
        <v>0</v>
      </c>
      <c r="E189">
        <v>5</v>
      </c>
      <c r="F189">
        <v>10</v>
      </c>
      <c r="G189">
        <v>0</v>
      </c>
      <c r="H189">
        <v>1</v>
      </c>
      <c r="I189" t="s">
        <v>1319</v>
      </c>
      <c r="J189" s="72">
        <v>0</v>
      </c>
    </row>
    <row r="190" spans="1:10" x14ac:dyDescent="0.25">
      <c r="A190" t="s">
        <v>802</v>
      </c>
      <c r="B190" s="1" t="s">
        <v>161</v>
      </c>
      <c r="C190">
        <v>1.55</v>
      </c>
      <c r="D190" s="72">
        <f>PRODUCTOS[[#This Row],[V/U VENTA]]*PRODUCTOS[[#This Row],[CANTIDAD]]</f>
        <v>3.1</v>
      </c>
      <c r="E190">
        <v>5</v>
      </c>
      <c r="F190">
        <v>10</v>
      </c>
      <c r="G190">
        <v>2</v>
      </c>
      <c r="H190">
        <v>1</v>
      </c>
      <c r="I190" t="s">
        <v>1319</v>
      </c>
      <c r="J190" s="72">
        <v>0</v>
      </c>
    </row>
    <row r="191" spans="1:10" x14ac:dyDescent="0.25">
      <c r="A191" t="s">
        <v>803</v>
      </c>
      <c r="B191" s="1" t="s">
        <v>572</v>
      </c>
      <c r="C191">
        <v>0.7</v>
      </c>
      <c r="D191" s="72">
        <f>PRODUCTOS[[#This Row],[V/U VENTA]]*PRODUCTOS[[#This Row],[CANTIDAD]]</f>
        <v>131.6</v>
      </c>
      <c r="E191">
        <v>5</v>
      </c>
      <c r="F191">
        <v>10</v>
      </c>
      <c r="G191">
        <v>188</v>
      </c>
      <c r="H191">
        <v>1</v>
      </c>
      <c r="I191" t="s">
        <v>1319</v>
      </c>
      <c r="J191" s="72">
        <v>0</v>
      </c>
    </row>
    <row r="192" spans="1:10" x14ac:dyDescent="0.25">
      <c r="A192" t="s">
        <v>804</v>
      </c>
      <c r="B192" s="1" t="s">
        <v>243</v>
      </c>
      <c r="C192">
        <v>0.6</v>
      </c>
      <c r="D192" s="72">
        <f>PRODUCTOS[[#This Row],[V/U VENTA]]*PRODUCTOS[[#This Row],[CANTIDAD]]</f>
        <v>0</v>
      </c>
      <c r="E192">
        <v>5</v>
      </c>
      <c r="F192">
        <v>10</v>
      </c>
      <c r="G192">
        <v>0</v>
      </c>
      <c r="H192">
        <v>1</v>
      </c>
      <c r="I192" t="s">
        <v>1319</v>
      </c>
      <c r="J192" s="72">
        <v>0</v>
      </c>
    </row>
    <row r="193" spans="1:10" x14ac:dyDescent="0.25">
      <c r="A193" t="s">
        <v>805</v>
      </c>
      <c r="B193" s="1" t="s">
        <v>1769</v>
      </c>
      <c r="C193">
        <v>6</v>
      </c>
      <c r="D193" s="72">
        <f>PRODUCTOS[[#This Row],[V/U VENTA]]*PRODUCTOS[[#This Row],[CANTIDAD]]</f>
        <v>6</v>
      </c>
      <c r="E193">
        <v>5</v>
      </c>
      <c r="F193">
        <v>10</v>
      </c>
      <c r="G193">
        <v>1</v>
      </c>
      <c r="H193">
        <v>1</v>
      </c>
      <c r="I193" t="s">
        <v>1319</v>
      </c>
      <c r="J193" s="72">
        <v>0</v>
      </c>
    </row>
    <row r="194" spans="1:10" x14ac:dyDescent="0.25">
      <c r="A194" t="s">
        <v>806</v>
      </c>
      <c r="B194" s="1" t="s">
        <v>117</v>
      </c>
      <c r="C194">
        <v>1.25</v>
      </c>
      <c r="D194" s="72">
        <f>PRODUCTOS[[#This Row],[V/U VENTA]]*PRODUCTOS[[#This Row],[CANTIDAD]]</f>
        <v>11.25</v>
      </c>
      <c r="E194">
        <v>5</v>
      </c>
      <c r="F194">
        <v>10</v>
      </c>
      <c r="G194">
        <v>9</v>
      </c>
      <c r="H194">
        <v>1</v>
      </c>
      <c r="I194" t="s">
        <v>1319</v>
      </c>
      <c r="J194" s="72">
        <v>0</v>
      </c>
    </row>
    <row r="195" spans="1:10" x14ac:dyDescent="0.25">
      <c r="A195" t="s">
        <v>807</v>
      </c>
      <c r="B195" s="1" t="s">
        <v>116</v>
      </c>
      <c r="C195">
        <v>1.8</v>
      </c>
      <c r="D195" s="72">
        <f>PRODUCTOS[[#This Row],[V/U VENTA]]*PRODUCTOS[[#This Row],[CANTIDAD]]</f>
        <v>1.8</v>
      </c>
      <c r="E195">
        <v>5</v>
      </c>
      <c r="F195">
        <v>10</v>
      </c>
      <c r="G195">
        <v>1</v>
      </c>
      <c r="H195">
        <v>1</v>
      </c>
      <c r="I195" t="s">
        <v>1319</v>
      </c>
      <c r="J195" s="72">
        <v>0</v>
      </c>
    </row>
    <row r="196" spans="1:10" x14ac:dyDescent="0.25">
      <c r="A196" t="s">
        <v>808</v>
      </c>
      <c r="B196" s="1" t="s">
        <v>1423</v>
      </c>
      <c r="C196" s="4">
        <v>4.96</v>
      </c>
      <c r="D196" s="72">
        <f>PRODUCTOS[[#This Row],[V/U VENTA]]*PRODUCTOS[[#This Row],[CANTIDAD]]</f>
        <v>0</v>
      </c>
      <c r="E196">
        <v>5</v>
      </c>
      <c r="F196">
        <v>10</v>
      </c>
      <c r="G196" s="75">
        <v>0</v>
      </c>
      <c r="H196">
        <v>1</v>
      </c>
      <c r="I196" t="s">
        <v>1319</v>
      </c>
      <c r="J196" s="72">
        <v>0</v>
      </c>
    </row>
    <row r="197" spans="1:10" x14ac:dyDescent="0.25">
      <c r="A197" t="s">
        <v>809</v>
      </c>
      <c r="B197" s="1" t="s">
        <v>126</v>
      </c>
      <c r="C197">
        <v>15</v>
      </c>
      <c r="D197" s="72">
        <f>PRODUCTOS[[#This Row],[V/U VENTA]]*PRODUCTOS[[#This Row],[CANTIDAD]]</f>
        <v>15</v>
      </c>
      <c r="E197">
        <v>5</v>
      </c>
      <c r="F197">
        <v>10</v>
      </c>
      <c r="G197">
        <v>1</v>
      </c>
      <c r="H197">
        <v>1</v>
      </c>
      <c r="I197" t="s">
        <v>1319</v>
      </c>
      <c r="J197" s="72">
        <v>0</v>
      </c>
    </row>
    <row r="198" spans="1:10" x14ac:dyDescent="0.25">
      <c r="A198" t="s">
        <v>810</v>
      </c>
      <c r="B198" s="1" t="s">
        <v>97</v>
      </c>
      <c r="C198">
        <v>0.2</v>
      </c>
      <c r="D198" s="72">
        <f>PRODUCTOS[[#This Row],[V/U VENTA]]*PRODUCTOS[[#This Row],[CANTIDAD]]</f>
        <v>0</v>
      </c>
      <c r="E198">
        <v>5</v>
      </c>
      <c r="F198">
        <v>10</v>
      </c>
      <c r="G198">
        <v>0</v>
      </c>
      <c r="H198">
        <v>1</v>
      </c>
      <c r="I198" t="s">
        <v>1319</v>
      </c>
      <c r="J198" s="72">
        <v>0</v>
      </c>
    </row>
    <row r="199" spans="1:10" x14ac:dyDescent="0.25">
      <c r="A199" t="s">
        <v>811</v>
      </c>
      <c r="B199" s="1" t="s">
        <v>559</v>
      </c>
      <c r="C199">
        <v>0.17</v>
      </c>
      <c r="D199" s="72">
        <f>PRODUCTOS[[#This Row],[V/U VENTA]]*PRODUCTOS[[#This Row],[CANTIDAD]]</f>
        <v>39.78</v>
      </c>
      <c r="E199">
        <v>5</v>
      </c>
      <c r="F199">
        <v>10</v>
      </c>
      <c r="G199">
        <v>234</v>
      </c>
      <c r="H199">
        <v>1</v>
      </c>
      <c r="I199" t="s">
        <v>1319</v>
      </c>
      <c r="J199" s="72">
        <v>0</v>
      </c>
    </row>
    <row r="200" spans="1:10" x14ac:dyDescent="0.25">
      <c r="A200" t="s">
        <v>812</v>
      </c>
      <c r="B200" s="1" t="s">
        <v>585</v>
      </c>
      <c r="C200">
        <v>3.5</v>
      </c>
      <c r="D200" s="72">
        <f>PRODUCTOS[[#This Row],[V/U VENTA]]*PRODUCTOS[[#This Row],[CANTIDAD]]</f>
        <v>0</v>
      </c>
      <c r="E200">
        <v>5</v>
      </c>
      <c r="F200">
        <v>10</v>
      </c>
      <c r="G200">
        <v>0</v>
      </c>
      <c r="H200">
        <v>1</v>
      </c>
      <c r="I200" t="s">
        <v>1319</v>
      </c>
      <c r="J200" s="72">
        <v>0</v>
      </c>
    </row>
    <row r="201" spans="1:10" x14ac:dyDescent="0.25">
      <c r="A201" t="s">
        <v>813</v>
      </c>
      <c r="B201" s="1" t="s">
        <v>120</v>
      </c>
      <c r="C201">
        <v>25</v>
      </c>
      <c r="D201" s="72">
        <f>PRODUCTOS[[#This Row],[V/U VENTA]]*PRODUCTOS[[#This Row],[CANTIDAD]]</f>
        <v>50</v>
      </c>
      <c r="E201">
        <v>5</v>
      </c>
      <c r="F201">
        <v>10</v>
      </c>
      <c r="G201">
        <v>2</v>
      </c>
      <c r="H201">
        <v>1</v>
      </c>
      <c r="I201" t="s">
        <v>1319</v>
      </c>
      <c r="J201" s="72">
        <v>0</v>
      </c>
    </row>
    <row r="202" spans="1:10" x14ac:dyDescent="0.25">
      <c r="A202" t="s">
        <v>814</v>
      </c>
      <c r="B202" s="1" t="s">
        <v>121</v>
      </c>
      <c r="C202">
        <v>20</v>
      </c>
      <c r="D202" s="72">
        <f>PRODUCTOS[[#This Row],[V/U VENTA]]*PRODUCTOS[[#This Row],[CANTIDAD]]</f>
        <v>20</v>
      </c>
      <c r="E202">
        <v>5</v>
      </c>
      <c r="F202">
        <v>10</v>
      </c>
      <c r="G202">
        <v>1</v>
      </c>
      <c r="H202">
        <v>1</v>
      </c>
      <c r="I202" t="s">
        <v>1319</v>
      </c>
      <c r="J202" s="72">
        <v>0</v>
      </c>
    </row>
    <row r="203" spans="1:10" x14ac:dyDescent="0.25">
      <c r="A203" t="s">
        <v>815</v>
      </c>
      <c r="B203" s="1" t="s">
        <v>537</v>
      </c>
      <c r="C203">
        <v>1</v>
      </c>
      <c r="D203" s="72">
        <f>PRODUCTOS[[#This Row],[V/U VENTA]]*PRODUCTOS[[#This Row],[CANTIDAD]]</f>
        <v>10</v>
      </c>
      <c r="E203">
        <v>5</v>
      </c>
      <c r="F203">
        <v>10</v>
      </c>
      <c r="G203">
        <v>10</v>
      </c>
      <c r="H203">
        <v>1</v>
      </c>
      <c r="I203" t="s">
        <v>1319</v>
      </c>
      <c r="J203" s="72">
        <v>0</v>
      </c>
    </row>
    <row r="204" spans="1:10" x14ac:dyDescent="0.25">
      <c r="A204" t="s">
        <v>816</v>
      </c>
      <c r="B204" s="1" t="s">
        <v>538</v>
      </c>
      <c r="C204">
        <v>0.8</v>
      </c>
      <c r="D204" s="72">
        <f>PRODUCTOS[[#This Row],[V/U VENTA]]*PRODUCTOS[[#This Row],[CANTIDAD]]</f>
        <v>9.6000000000000014</v>
      </c>
      <c r="E204">
        <v>5</v>
      </c>
      <c r="F204">
        <v>10</v>
      </c>
      <c r="G204">
        <v>12</v>
      </c>
      <c r="H204">
        <v>1</v>
      </c>
      <c r="I204" t="s">
        <v>1319</v>
      </c>
      <c r="J204" s="72">
        <v>0</v>
      </c>
    </row>
    <row r="205" spans="1:10" x14ac:dyDescent="0.25">
      <c r="A205" t="s">
        <v>817</v>
      </c>
      <c r="B205" s="1" t="s">
        <v>300</v>
      </c>
      <c r="C205">
        <v>0.6</v>
      </c>
      <c r="D205" s="72">
        <f>PRODUCTOS[[#This Row],[V/U VENTA]]*PRODUCTOS[[#This Row],[CANTIDAD]]</f>
        <v>4.8</v>
      </c>
      <c r="E205">
        <v>5</v>
      </c>
      <c r="F205">
        <v>10</v>
      </c>
      <c r="G205">
        <v>8</v>
      </c>
      <c r="H205">
        <v>1</v>
      </c>
      <c r="I205" t="s">
        <v>1319</v>
      </c>
      <c r="J205" s="72">
        <v>0</v>
      </c>
    </row>
    <row r="206" spans="1:10" x14ac:dyDescent="0.25">
      <c r="A206" t="s">
        <v>818</v>
      </c>
      <c r="B206" s="1" t="s">
        <v>1424</v>
      </c>
      <c r="C206">
        <v>6.7</v>
      </c>
      <c r="D206" s="72">
        <f>PRODUCTOS[[#This Row],[V/U VENTA]]*PRODUCTOS[[#This Row],[CANTIDAD]]</f>
        <v>0</v>
      </c>
      <c r="E206">
        <v>5</v>
      </c>
      <c r="F206">
        <v>10</v>
      </c>
      <c r="G206">
        <v>0</v>
      </c>
      <c r="H206">
        <v>1</v>
      </c>
      <c r="I206" t="s">
        <v>1319</v>
      </c>
      <c r="J206" s="72">
        <v>0</v>
      </c>
    </row>
    <row r="207" spans="1:10" x14ac:dyDescent="0.25">
      <c r="A207" t="s">
        <v>819</v>
      </c>
      <c r="B207" s="1" t="s">
        <v>98</v>
      </c>
      <c r="C207">
        <v>1.1000000000000001</v>
      </c>
      <c r="D207" s="72">
        <f>PRODUCTOS[[#This Row],[V/U VENTA]]*PRODUCTOS[[#This Row],[CANTIDAD]]</f>
        <v>0</v>
      </c>
      <c r="E207">
        <v>5</v>
      </c>
      <c r="F207">
        <v>10</v>
      </c>
      <c r="G207">
        <v>0</v>
      </c>
      <c r="H207">
        <v>1</v>
      </c>
      <c r="I207" t="s">
        <v>1319</v>
      </c>
      <c r="J207" s="72">
        <v>0</v>
      </c>
    </row>
    <row r="208" spans="1:10" x14ac:dyDescent="0.25">
      <c r="A208" t="s">
        <v>820</v>
      </c>
      <c r="B208" s="1" t="s">
        <v>1770</v>
      </c>
      <c r="C208">
        <v>11</v>
      </c>
      <c r="D208" s="72">
        <f>PRODUCTOS[[#This Row],[V/U VENTA]]*PRODUCTOS[[#This Row],[CANTIDAD]]</f>
        <v>44</v>
      </c>
      <c r="E208">
        <v>5</v>
      </c>
      <c r="F208">
        <v>10</v>
      </c>
      <c r="G208">
        <v>4</v>
      </c>
      <c r="H208">
        <v>1</v>
      </c>
      <c r="I208" t="s">
        <v>1320</v>
      </c>
      <c r="J208" s="72">
        <v>0</v>
      </c>
    </row>
    <row r="209" spans="1:10" x14ac:dyDescent="0.25">
      <c r="A209" t="s">
        <v>821</v>
      </c>
      <c r="B209" s="1" t="s">
        <v>1425</v>
      </c>
      <c r="C209">
        <v>1</v>
      </c>
      <c r="D209" s="72">
        <f>PRODUCTOS[[#This Row],[V/U VENTA]]*PRODUCTOS[[#This Row],[CANTIDAD]]</f>
        <v>16</v>
      </c>
      <c r="E209">
        <v>5</v>
      </c>
      <c r="F209">
        <v>10</v>
      </c>
      <c r="G209">
        <v>16</v>
      </c>
      <c r="H209">
        <v>1</v>
      </c>
      <c r="I209" t="s">
        <v>1320</v>
      </c>
      <c r="J209" s="72">
        <v>0</v>
      </c>
    </row>
    <row r="210" spans="1:10" x14ac:dyDescent="0.25">
      <c r="A210" t="s">
        <v>822</v>
      </c>
      <c r="B210" s="1" t="s">
        <v>234</v>
      </c>
      <c r="C210">
        <v>0.95</v>
      </c>
      <c r="D210" s="72">
        <f>PRODUCTOS[[#This Row],[V/U VENTA]]*PRODUCTOS[[#This Row],[CANTIDAD]]</f>
        <v>10.45</v>
      </c>
      <c r="E210">
        <v>5</v>
      </c>
      <c r="F210">
        <v>10</v>
      </c>
      <c r="G210">
        <v>11</v>
      </c>
      <c r="H210">
        <v>1</v>
      </c>
      <c r="I210" t="s">
        <v>1319</v>
      </c>
      <c r="J210" s="72">
        <v>0</v>
      </c>
    </row>
    <row r="211" spans="1:10" x14ac:dyDescent="0.25">
      <c r="A211" t="s">
        <v>823</v>
      </c>
      <c r="B211" s="1" t="s">
        <v>1426</v>
      </c>
      <c r="C211">
        <v>12.5</v>
      </c>
      <c r="D211" s="72">
        <f>PRODUCTOS[[#This Row],[V/U VENTA]]*PRODUCTOS[[#This Row],[CANTIDAD]]</f>
        <v>12.5</v>
      </c>
      <c r="E211">
        <v>5</v>
      </c>
      <c r="F211">
        <v>10</v>
      </c>
      <c r="G211">
        <v>1</v>
      </c>
      <c r="H211">
        <v>1</v>
      </c>
      <c r="I211" t="s">
        <v>1319</v>
      </c>
      <c r="J211" s="72">
        <v>0</v>
      </c>
    </row>
    <row r="212" spans="1:10" x14ac:dyDescent="0.25">
      <c r="A212" t="s">
        <v>824</v>
      </c>
      <c r="B212" s="1" t="s">
        <v>551</v>
      </c>
      <c r="C212">
        <v>0.84</v>
      </c>
      <c r="D212" s="72">
        <f>PRODUCTOS[[#This Row],[V/U VENTA]]*PRODUCTOS[[#This Row],[CANTIDAD]]</f>
        <v>8.4</v>
      </c>
      <c r="E212">
        <v>5</v>
      </c>
      <c r="F212">
        <v>10</v>
      </c>
      <c r="G212">
        <v>10</v>
      </c>
      <c r="H212">
        <v>1</v>
      </c>
      <c r="I212" t="s">
        <v>1319</v>
      </c>
      <c r="J212" s="72">
        <v>0</v>
      </c>
    </row>
    <row r="213" spans="1:10" x14ac:dyDescent="0.25">
      <c r="A213" t="s">
        <v>825</v>
      </c>
      <c r="B213" s="1" t="s">
        <v>125</v>
      </c>
      <c r="C213">
        <v>3.4</v>
      </c>
      <c r="D213" s="72">
        <f>PRODUCTOS[[#This Row],[V/U VENTA]]*PRODUCTOS[[#This Row],[CANTIDAD]]</f>
        <v>3.4</v>
      </c>
      <c r="E213">
        <v>5</v>
      </c>
      <c r="F213">
        <v>10</v>
      </c>
      <c r="G213">
        <v>1</v>
      </c>
      <c r="H213">
        <v>1</v>
      </c>
      <c r="I213" t="s">
        <v>1319</v>
      </c>
      <c r="J213" s="72">
        <v>0</v>
      </c>
    </row>
    <row r="214" spans="1:10" x14ac:dyDescent="0.25">
      <c r="A214" t="s">
        <v>826</v>
      </c>
      <c r="B214" s="1" t="s">
        <v>270</v>
      </c>
      <c r="C214">
        <v>0.3</v>
      </c>
      <c r="D214" s="72">
        <f>PRODUCTOS[[#This Row],[V/U VENTA]]*PRODUCTOS[[#This Row],[CANTIDAD]]</f>
        <v>0.89999999999999991</v>
      </c>
      <c r="E214">
        <v>5</v>
      </c>
      <c r="F214">
        <v>10</v>
      </c>
      <c r="G214">
        <v>3</v>
      </c>
      <c r="H214">
        <v>1</v>
      </c>
      <c r="I214" t="s">
        <v>1319</v>
      </c>
      <c r="J214" s="72">
        <v>0</v>
      </c>
    </row>
    <row r="215" spans="1:10" x14ac:dyDescent="0.25">
      <c r="A215" t="s">
        <v>827</v>
      </c>
      <c r="B215" s="1" t="s">
        <v>1427</v>
      </c>
      <c r="C215">
        <v>25</v>
      </c>
      <c r="D215" s="72">
        <f>PRODUCTOS[[#This Row],[V/U VENTA]]*PRODUCTOS[[#This Row],[CANTIDAD]]</f>
        <v>50</v>
      </c>
      <c r="E215">
        <v>5</v>
      </c>
      <c r="F215">
        <v>10</v>
      </c>
      <c r="G215">
        <v>2</v>
      </c>
      <c r="H215">
        <v>1</v>
      </c>
      <c r="I215" t="s">
        <v>1319</v>
      </c>
      <c r="J215" s="72">
        <v>0</v>
      </c>
    </row>
    <row r="216" spans="1:10" x14ac:dyDescent="0.25">
      <c r="A216" t="s">
        <v>828</v>
      </c>
      <c r="B216" s="1" t="s">
        <v>144</v>
      </c>
      <c r="C216">
        <v>0.17</v>
      </c>
      <c r="D216" s="72">
        <f>PRODUCTOS[[#This Row],[V/U VENTA]]*PRODUCTOS[[#This Row],[CANTIDAD]]</f>
        <v>0</v>
      </c>
      <c r="E216">
        <v>5</v>
      </c>
      <c r="F216">
        <v>10</v>
      </c>
      <c r="G216">
        <v>0</v>
      </c>
      <c r="H216">
        <v>1</v>
      </c>
      <c r="I216" t="s">
        <v>1319</v>
      </c>
      <c r="J216" s="72">
        <v>0</v>
      </c>
    </row>
    <row r="217" spans="1:10" x14ac:dyDescent="0.25">
      <c r="A217" t="s">
        <v>829</v>
      </c>
      <c r="B217" s="1" t="s">
        <v>1428</v>
      </c>
      <c r="C217">
        <v>2</v>
      </c>
      <c r="D217" s="72">
        <f>PRODUCTOS[[#This Row],[V/U VENTA]]*PRODUCTOS[[#This Row],[CANTIDAD]]</f>
        <v>0</v>
      </c>
      <c r="E217">
        <v>5</v>
      </c>
      <c r="F217">
        <v>10</v>
      </c>
      <c r="G217">
        <v>0</v>
      </c>
      <c r="H217">
        <v>1</v>
      </c>
      <c r="I217" t="s">
        <v>1319</v>
      </c>
      <c r="J217" s="72">
        <v>0</v>
      </c>
    </row>
    <row r="218" spans="1:10" x14ac:dyDescent="0.25">
      <c r="A218" t="s">
        <v>830</v>
      </c>
      <c r="B218" s="1" t="s">
        <v>504</v>
      </c>
      <c r="C218">
        <v>1</v>
      </c>
      <c r="D218" s="72">
        <f>PRODUCTOS[[#This Row],[V/U VENTA]]*PRODUCTOS[[#This Row],[CANTIDAD]]</f>
        <v>0</v>
      </c>
      <c r="E218">
        <v>5</v>
      </c>
      <c r="F218">
        <v>10</v>
      </c>
      <c r="G218">
        <v>0</v>
      </c>
      <c r="H218">
        <v>1</v>
      </c>
      <c r="I218" t="s">
        <v>1319</v>
      </c>
      <c r="J218" s="72">
        <v>0</v>
      </c>
    </row>
    <row r="219" spans="1:10" x14ac:dyDescent="0.25">
      <c r="A219" t="s">
        <v>831</v>
      </c>
      <c r="B219" s="1" t="s">
        <v>490</v>
      </c>
      <c r="C219">
        <v>7.25</v>
      </c>
      <c r="D219" s="72">
        <f>PRODUCTOS[[#This Row],[V/U VENTA]]*PRODUCTOS[[#This Row],[CANTIDAD]]</f>
        <v>0</v>
      </c>
      <c r="E219">
        <v>5</v>
      </c>
      <c r="F219">
        <v>10</v>
      </c>
      <c r="G219">
        <v>0</v>
      </c>
      <c r="H219">
        <v>1</v>
      </c>
      <c r="I219" t="s">
        <v>1319</v>
      </c>
      <c r="J219" s="72">
        <v>0</v>
      </c>
    </row>
    <row r="220" spans="1:10" x14ac:dyDescent="0.25">
      <c r="A220" t="s">
        <v>832</v>
      </c>
      <c r="B220" s="1" t="s">
        <v>1771</v>
      </c>
      <c r="C220">
        <v>3.9</v>
      </c>
      <c r="D220" s="72">
        <f>PRODUCTOS[[#This Row],[V/U VENTA]]*PRODUCTOS[[#This Row],[CANTIDAD]]</f>
        <v>19.5</v>
      </c>
      <c r="E220">
        <v>5</v>
      </c>
      <c r="F220">
        <v>10</v>
      </c>
      <c r="G220">
        <v>5</v>
      </c>
      <c r="H220">
        <v>1</v>
      </c>
      <c r="I220" t="s">
        <v>1320</v>
      </c>
      <c r="J220" s="72">
        <v>0</v>
      </c>
    </row>
    <row r="221" spans="1:10" x14ac:dyDescent="0.25">
      <c r="A221" t="s">
        <v>833</v>
      </c>
      <c r="B221" s="1" t="s">
        <v>1772</v>
      </c>
      <c r="C221">
        <v>2</v>
      </c>
      <c r="D221" s="72">
        <f>PRODUCTOS[[#This Row],[V/U VENTA]]*PRODUCTOS[[#This Row],[CANTIDAD]]</f>
        <v>4</v>
      </c>
      <c r="E221">
        <v>5</v>
      </c>
      <c r="F221">
        <v>10</v>
      </c>
      <c r="G221">
        <v>2</v>
      </c>
      <c r="H221">
        <v>1</v>
      </c>
      <c r="I221" t="s">
        <v>1320</v>
      </c>
      <c r="J221" s="72">
        <v>0</v>
      </c>
    </row>
    <row r="222" spans="1:10" x14ac:dyDescent="0.25">
      <c r="A222" t="s">
        <v>834</v>
      </c>
      <c r="B222" s="1" t="s">
        <v>302</v>
      </c>
      <c r="C222">
        <v>1.37</v>
      </c>
      <c r="D222" s="72">
        <f>PRODUCTOS[[#This Row],[V/U VENTA]]*PRODUCTOS[[#This Row],[CANTIDAD]]</f>
        <v>6.8500000000000005</v>
      </c>
      <c r="E222">
        <v>5</v>
      </c>
      <c r="F222">
        <v>10</v>
      </c>
      <c r="G222">
        <v>5</v>
      </c>
      <c r="H222">
        <v>1</v>
      </c>
      <c r="I222" t="s">
        <v>1320</v>
      </c>
      <c r="J222" s="72">
        <v>0</v>
      </c>
    </row>
    <row r="223" spans="1:10" x14ac:dyDescent="0.25">
      <c r="A223" t="s">
        <v>835</v>
      </c>
      <c r="B223" s="1" t="s">
        <v>1429</v>
      </c>
      <c r="C223">
        <v>2</v>
      </c>
      <c r="D223" s="72">
        <f>PRODUCTOS[[#This Row],[V/U VENTA]]*PRODUCTOS[[#This Row],[CANTIDAD]]</f>
        <v>2</v>
      </c>
      <c r="E223">
        <v>5</v>
      </c>
      <c r="F223">
        <v>10</v>
      </c>
      <c r="G223">
        <v>1</v>
      </c>
      <c r="H223">
        <v>1</v>
      </c>
      <c r="I223" t="s">
        <v>1319</v>
      </c>
      <c r="J223" s="72">
        <v>0</v>
      </c>
    </row>
    <row r="224" spans="1:10" x14ac:dyDescent="0.25">
      <c r="A224" t="s">
        <v>836</v>
      </c>
      <c r="B224" s="1" t="s">
        <v>550</v>
      </c>
      <c r="C224">
        <v>0.35</v>
      </c>
      <c r="D224" s="72">
        <f>PRODUCTOS[[#This Row],[V/U VENTA]]*PRODUCTOS[[#This Row],[CANTIDAD]]</f>
        <v>35</v>
      </c>
      <c r="E224">
        <v>5</v>
      </c>
      <c r="F224">
        <v>10</v>
      </c>
      <c r="G224">
        <v>100</v>
      </c>
      <c r="H224">
        <v>1</v>
      </c>
      <c r="I224" t="s">
        <v>1319</v>
      </c>
      <c r="J224" s="72">
        <v>0</v>
      </c>
    </row>
    <row r="225" spans="1:10" x14ac:dyDescent="0.25">
      <c r="A225" t="s">
        <v>837</v>
      </c>
      <c r="B225" s="1" t="s">
        <v>1430</v>
      </c>
      <c r="C225">
        <v>6</v>
      </c>
      <c r="D225" s="72">
        <f>PRODUCTOS[[#This Row],[V/U VENTA]]*PRODUCTOS[[#This Row],[CANTIDAD]]</f>
        <v>6</v>
      </c>
      <c r="E225">
        <v>5</v>
      </c>
      <c r="F225">
        <v>10</v>
      </c>
      <c r="G225">
        <v>1</v>
      </c>
      <c r="H225">
        <v>1</v>
      </c>
      <c r="I225" t="s">
        <v>1320</v>
      </c>
      <c r="J225" s="72">
        <v>0</v>
      </c>
    </row>
    <row r="226" spans="1:10" x14ac:dyDescent="0.25">
      <c r="A226" t="s">
        <v>838</v>
      </c>
      <c r="B226" s="1" t="s">
        <v>1431</v>
      </c>
      <c r="C226">
        <v>4.75</v>
      </c>
      <c r="D226" s="72">
        <f>PRODUCTOS[[#This Row],[V/U VENTA]]*PRODUCTOS[[#This Row],[CANTIDAD]]</f>
        <v>4.75</v>
      </c>
      <c r="E226">
        <v>5</v>
      </c>
      <c r="F226">
        <v>10</v>
      </c>
      <c r="G226">
        <v>1</v>
      </c>
      <c r="H226">
        <v>1</v>
      </c>
      <c r="I226" t="s">
        <v>1319</v>
      </c>
      <c r="J226" s="72">
        <v>0</v>
      </c>
    </row>
    <row r="227" spans="1:10" x14ac:dyDescent="0.25">
      <c r="A227" t="s">
        <v>839</v>
      </c>
      <c r="B227" s="1" t="s">
        <v>607</v>
      </c>
      <c r="C227">
        <v>4</v>
      </c>
      <c r="D227" s="72">
        <f>PRODUCTOS[[#This Row],[V/U VENTA]]*PRODUCTOS[[#This Row],[CANTIDAD]]</f>
        <v>8</v>
      </c>
      <c r="E227">
        <v>5</v>
      </c>
      <c r="F227">
        <v>10</v>
      </c>
      <c r="G227">
        <v>2</v>
      </c>
      <c r="H227">
        <v>1</v>
      </c>
      <c r="I227" t="s">
        <v>1319</v>
      </c>
      <c r="J227" s="72">
        <v>0</v>
      </c>
    </row>
    <row r="228" spans="1:10" x14ac:dyDescent="0.25">
      <c r="A228" t="s">
        <v>840</v>
      </c>
      <c r="B228" s="1" t="s">
        <v>432</v>
      </c>
      <c r="C228">
        <v>6.5</v>
      </c>
      <c r="D228" s="72">
        <f>PRODUCTOS[[#This Row],[V/U VENTA]]*PRODUCTOS[[#This Row],[CANTIDAD]]</f>
        <v>0</v>
      </c>
      <c r="E228">
        <v>5</v>
      </c>
      <c r="F228">
        <v>10</v>
      </c>
      <c r="G228">
        <v>0</v>
      </c>
      <c r="H228">
        <v>1</v>
      </c>
      <c r="I228" t="s">
        <v>1319</v>
      </c>
      <c r="J228" s="72">
        <v>0</v>
      </c>
    </row>
    <row r="229" spans="1:10" x14ac:dyDescent="0.25">
      <c r="A229" t="s">
        <v>841</v>
      </c>
      <c r="B229" s="1" t="s">
        <v>480</v>
      </c>
      <c r="C229">
        <v>55.44</v>
      </c>
      <c r="D229" s="72">
        <f>PRODUCTOS[[#This Row],[V/U VENTA]]*PRODUCTOS[[#This Row],[CANTIDAD]]</f>
        <v>55.44</v>
      </c>
      <c r="E229">
        <v>5</v>
      </c>
      <c r="F229">
        <v>10</v>
      </c>
      <c r="G229">
        <v>1</v>
      </c>
      <c r="H229">
        <v>1</v>
      </c>
      <c r="I229" t="s">
        <v>1319</v>
      </c>
      <c r="J229" s="72">
        <v>0</v>
      </c>
    </row>
    <row r="230" spans="1:10" x14ac:dyDescent="0.25">
      <c r="A230" t="s">
        <v>842</v>
      </c>
      <c r="B230" s="1" t="s">
        <v>421</v>
      </c>
      <c r="C230">
        <v>4.16</v>
      </c>
      <c r="D230" s="72">
        <f>PRODUCTOS[[#This Row],[V/U VENTA]]*PRODUCTOS[[#This Row],[CANTIDAD]]</f>
        <v>4.16</v>
      </c>
      <c r="E230">
        <v>5</v>
      </c>
      <c r="F230">
        <v>10</v>
      </c>
      <c r="G230">
        <v>1</v>
      </c>
      <c r="H230">
        <v>1</v>
      </c>
      <c r="I230" t="s">
        <v>1319</v>
      </c>
      <c r="J230" s="72">
        <v>0</v>
      </c>
    </row>
    <row r="231" spans="1:10" x14ac:dyDescent="0.25">
      <c r="A231" t="s">
        <v>843</v>
      </c>
      <c r="B231" s="1" t="s">
        <v>83</v>
      </c>
      <c r="C231">
        <v>3.25</v>
      </c>
      <c r="D231" s="72">
        <f>PRODUCTOS[[#This Row],[V/U VENTA]]*PRODUCTOS[[#This Row],[CANTIDAD]]</f>
        <v>6.5</v>
      </c>
      <c r="E231">
        <v>5</v>
      </c>
      <c r="F231">
        <v>10</v>
      </c>
      <c r="G231">
        <v>2</v>
      </c>
      <c r="H231">
        <v>1</v>
      </c>
      <c r="I231" t="s">
        <v>1319</v>
      </c>
      <c r="J231" s="72">
        <v>0</v>
      </c>
    </row>
    <row r="232" spans="1:10" x14ac:dyDescent="0.25">
      <c r="A232" t="s">
        <v>844</v>
      </c>
      <c r="B232" s="1" t="s">
        <v>157</v>
      </c>
      <c r="C232">
        <v>8</v>
      </c>
      <c r="D232" s="72">
        <f>PRODUCTOS[[#This Row],[V/U VENTA]]*PRODUCTOS[[#This Row],[CANTIDAD]]</f>
        <v>24</v>
      </c>
      <c r="E232">
        <v>5</v>
      </c>
      <c r="F232">
        <v>10</v>
      </c>
      <c r="G232">
        <v>3</v>
      </c>
      <c r="H232">
        <v>1</v>
      </c>
      <c r="I232" t="s">
        <v>1319</v>
      </c>
      <c r="J232" s="72">
        <v>0</v>
      </c>
    </row>
    <row r="233" spans="1:10" x14ac:dyDescent="0.25">
      <c r="A233" t="s">
        <v>845</v>
      </c>
      <c r="B233" s="1" t="s">
        <v>84</v>
      </c>
      <c r="C233">
        <v>6.5</v>
      </c>
      <c r="D233" s="72">
        <f>PRODUCTOS[[#This Row],[V/U VENTA]]*PRODUCTOS[[#This Row],[CANTIDAD]]</f>
        <v>6.5</v>
      </c>
      <c r="E233">
        <v>5</v>
      </c>
      <c r="F233">
        <v>10</v>
      </c>
      <c r="G233">
        <v>1</v>
      </c>
      <c r="H233">
        <v>1</v>
      </c>
      <c r="I233" t="s">
        <v>1319</v>
      </c>
      <c r="J233" s="72">
        <v>0</v>
      </c>
    </row>
    <row r="234" spans="1:10" x14ac:dyDescent="0.25">
      <c r="A234" t="s">
        <v>846</v>
      </c>
      <c r="B234" s="1" t="s">
        <v>277</v>
      </c>
      <c r="C234">
        <v>0.6</v>
      </c>
      <c r="D234" s="72">
        <f>PRODUCTOS[[#This Row],[V/U VENTA]]*PRODUCTOS[[#This Row],[CANTIDAD]]</f>
        <v>0</v>
      </c>
      <c r="E234">
        <v>5</v>
      </c>
      <c r="F234">
        <v>10</v>
      </c>
      <c r="G234">
        <v>0</v>
      </c>
      <c r="H234">
        <v>1</v>
      </c>
      <c r="I234" t="s">
        <v>1319</v>
      </c>
      <c r="J234" s="72">
        <v>0</v>
      </c>
    </row>
    <row r="235" spans="1:10" x14ac:dyDescent="0.25">
      <c r="A235" t="s">
        <v>847</v>
      </c>
      <c r="B235" s="1" t="s">
        <v>276</v>
      </c>
      <c r="C235">
        <v>0.6</v>
      </c>
      <c r="D235" s="72">
        <f>PRODUCTOS[[#This Row],[V/U VENTA]]*PRODUCTOS[[#This Row],[CANTIDAD]]</f>
        <v>3.5999999999999996</v>
      </c>
      <c r="E235">
        <v>5</v>
      </c>
      <c r="F235">
        <v>10</v>
      </c>
      <c r="G235">
        <v>6</v>
      </c>
      <c r="H235">
        <v>1</v>
      </c>
      <c r="I235" t="s">
        <v>1319</v>
      </c>
      <c r="J235" s="72">
        <v>0</v>
      </c>
    </row>
    <row r="236" spans="1:10" x14ac:dyDescent="0.25">
      <c r="A236" t="s">
        <v>848</v>
      </c>
      <c r="B236" s="1" t="s">
        <v>612</v>
      </c>
      <c r="C236">
        <v>0.6</v>
      </c>
      <c r="D236" s="72">
        <f>PRODUCTOS[[#This Row],[V/U VENTA]]*PRODUCTOS[[#This Row],[CANTIDAD]]</f>
        <v>17.399999999999999</v>
      </c>
      <c r="E236">
        <v>5</v>
      </c>
      <c r="F236">
        <v>10</v>
      </c>
      <c r="G236">
        <v>29</v>
      </c>
      <c r="H236">
        <v>1</v>
      </c>
      <c r="I236" t="s">
        <v>1319</v>
      </c>
      <c r="J236" s="72">
        <v>0</v>
      </c>
    </row>
    <row r="237" spans="1:10" x14ac:dyDescent="0.25">
      <c r="A237" t="s">
        <v>849</v>
      </c>
      <c r="B237" s="1" t="s">
        <v>1432</v>
      </c>
      <c r="C237">
        <v>5</v>
      </c>
      <c r="D237" s="72">
        <f>PRODUCTOS[[#This Row],[V/U VENTA]]*PRODUCTOS[[#This Row],[CANTIDAD]]</f>
        <v>5</v>
      </c>
      <c r="E237">
        <v>5</v>
      </c>
      <c r="F237">
        <v>10</v>
      </c>
      <c r="G237">
        <v>1</v>
      </c>
      <c r="H237">
        <v>1</v>
      </c>
      <c r="I237" t="s">
        <v>1319</v>
      </c>
      <c r="J237" s="72">
        <v>0</v>
      </c>
    </row>
    <row r="238" spans="1:10" x14ac:dyDescent="0.25">
      <c r="A238" t="s">
        <v>850</v>
      </c>
      <c r="B238" s="1" t="s">
        <v>1433</v>
      </c>
      <c r="C238">
        <v>3.5</v>
      </c>
      <c r="D238" s="72">
        <f>PRODUCTOS[[#This Row],[V/U VENTA]]*PRODUCTOS[[#This Row],[CANTIDAD]]</f>
        <v>3.5</v>
      </c>
      <c r="E238">
        <v>5</v>
      </c>
      <c r="F238">
        <v>10</v>
      </c>
      <c r="G238">
        <v>1</v>
      </c>
      <c r="H238">
        <v>1</v>
      </c>
      <c r="I238" t="s">
        <v>1319</v>
      </c>
      <c r="J238" s="72">
        <v>0</v>
      </c>
    </row>
    <row r="239" spans="1:10" x14ac:dyDescent="0.25">
      <c r="A239" t="s">
        <v>851</v>
      </c>
      <c r="B239" s="1" t="s">
        <v>1434</v>
      </c>
      <c r="C239">
        <v>2.9</v>
      </c>
      <c r="D239" s="72">
        <f>PRODUCTOS[[#This Row],[V/U VENTA]]*PRODUCTOS[[#This Row],[CANTIDAD]]</f>
        <v>17.399999999999999</v>
      </c>
      <c r="E239">
        <v>5</v>
      </c>
      <c r="F239">
        <v>10</v>
      </c>
      <c r="G239">
        <v>6</v>
      </c>
      <c r="H239">
        <v>1</v>
      </c>
      <c r="I239" t="s">
        <v>1319</v>
      </c>
      <c r="J239" s="72">
        <v>0</v>
      </c>
    </row>
    <row r="240" spans="1:10" x14ac:dyDescent="0.25">
      <c r="A240" t="s">
        <v>852</v>
      </c>
      <c r="B240" s="1" t="s">
        <v>1435</v>
      </c>
      <c r="C240">
        <v>0.1</v>
      </c>
      <c r="D240" s="72">
        <f>PRODUCTOS[[#This Row],[V/U VENTA]]*PRODUCTOS[[#This Row],[CANTIDAD]]</f>
        <v>99.7</v>
      </c>
      <c r="E240">
        <v>5</v>
      </c>
      <c r="F240">
        <v>10</v>
      </c>
      <c r="G240">
        <v>997</v>
      </c>
      <c r="H240">
        <v>1</v>
      </c>
      <c r="I240" t="s">
        <v>1319</v>
      </c>
      <c r="J240" s="72">
        <v>0</v>
      </c>
    </row>
    <row r="241" spans="1:10" x14ac:dyDescent="0.25">
      <c r="A241" t="s">
        <v>853</v>
      </c>
      <c r="B241" s="1" t="s">
        <v>148</v>
      </c>
      <c r="C241">
        <v>6.75</v>
      </c>
      <c r="D241" s="72">
        <f>PRODUCTOS[[#This Row],[V/U VENTA]]*PRODUCTOS[[#This Row],[CANTIDAD]]</f>
        <v>13.5</v>
      </c>
      <c r="E241">
        <v>5</v>
      </c>
      <c r="F241">
        <v>10</v>
      </c>
      <c r="G241">
        <v>2</v>
      </c>
      <c r="H241">
        <v>1</v>
      </c>
      <c r="I241" t="s">
        <v>1319</v>
      </c>
      <c r="J241" s="72">
        <v>0</v>
      </c>
    </row>
    <row r="242" spans="1:10" x14ac:dyDescent="0.25">
      <c r="A242" t="s">
        <v>854</v>
      </c>
      <c r="B242" s="1" t="s">
        <v>147</v>
      </c>
      <c r="C242">
        <v>0.6</v>
      </c>
      <c r="D242" s="72">
        <f>PRODUCTOS[[#This Row],[V/U VENTA]]*PRODUCTOS[[#This Row],[CANTIDAD]]</f>
        <v>6</v>
      </c>
      <c r="E242">
        <v>5</v>
      </c>
      <c r="F242">
        <v>10</v>
      </c>
      <c r="G242">
        <v>10</v>
      </c>
      <c r="H242">
        <v>1</v>
      </c>
      <c r="I242" t="s">
        <v>1319</v>
      </c>
      <c r="J242" s="72">
        <v>0</v>
      </c>
    </row>
    <row r="243" spans="1:10" x14ac:dyDescent="0.25">
      <c r="A243" t="s">
        <v>855</v>
      </c>
      <c r="B243" s="1" t="s">
        <v>152</v>
      </c>
      <c r="C243">
        <v>0.9</v>
      </c>
      <c r="D243" s="72">
        <f>PRODUCTOS[[#This Row],[V/U VENTA]]*PRODUCTOS[[#This Row],[CANTIDAD]]</f>
        <v>0</v>
      </c>
      <c r="E243">
        <v>5</v>
      </c>
      <c r="F243">
        <v>10</v>
      </c>
      <c r="G243">
        <v>0</v>
      </c>
      <c r="H243">
        <v>1</v>
      </c>
      <c r="I243" t="s">
        <v>1320</v>
      </c>
      <c r="J243" s="72">
        <v>0</v>
      </c>
    </row>
    <row r="244" spans="1:10" x14ac:dyDescent="0.25">
      <c r="A244" t="s">
        <v>856</v>
      </c>
      <c r="B244" s="1" t="s">
        <v>424</v>
      </c>
      <c r="C244">
        <v>7.36</v>
      </c>
      <c r="D244" s="72">
        <f>PRODUCTOS[[#This Row],[V/U VENTA]]*PRODUCTOS[[#This Row],[CANTIDAD]]</f>
        <v>0</v>
      </c>
      <c r="E244">
        <v>5</v>
      </c>
      <c r="F244">
        <v>10</v>
      </c>
      <c r="G244">
        <v>0</v>
      </c>
      <c r="H244">
        <v>1</v>
      </c>
      <c r="I244" t="s">
        <v>1320</v>
      </c>
      <c r="J244" s="72">
        <v>0</v>
      </c>
    </row>
    <row r="245" spans="1:10" x14ac:dyDescent="0.25">
      <c r="A245" t="s">
        <v>857</v>
      </c>
      <c r="B245" s="1" t="s">
        <v>425</v>
      </c>
      <c r="C245">
        <v>12.5</v>
      </c>
      <c r="D245" s="72">
        <f>PRODUCTOS[[#This Row],[V/U VENTA]]*PRODUCTOS[[#This Row],[CANTIDAD]]</f>
        <v>12.5</v>
      </c>
      <c r="E245">
        <v>5</v>
      </c>
      <c r="F245">
        <v>10</v>
      </c>
      <c r="G245">
        <v>1</v>
      </c>
      <c r="H245">
        <v>1</v>
      </c>
      <c r="I245" t="s">
        <v>1319</v>
      </c>
      <c r="J245" s="72">
        <v>0</v>
      </c>
    </row>
    <row r="246" spans="1:10" x14ac:dyDescent="0.25">
      <c r="A246" t="s">
        <v>858</v>
      </c>
      <c r="B246" s="1" t="s">
        <v>1436</v>
      </c>
      <c r="C246">
        <v>1.5</v>
      </c>
      <c r="D246" s="72">
        <f>PRODUCTOS[[#This Row],[V/U VENTA]]*PRODUCTOS[[#This Row],[CANTIDAD]]</f>
        <v>3</v>
      </c>
      <c r="E246">
        <v>5</v>
      </c>
      <c r="F246">
        <v>10</v>
      </c>
      <c r="G246">
        <v>2</v>
      </c>
      <c r="H246">
        <v>1</v>
      </c>
      <c r="I246" t="s">
        <v>1320</v>
      </c>
      <c r="J246" s="72">
        <v>0</v>
      </c>
    </row>
    <row r="247" spans="1:10" x14ac:dyDescent="0.25">
      <c r="A247" t="s">
        <v>859</v>
      </c>
      <c r="B247" s="1" t="s">
        <v>1437</v>
      </c>
      <c r="C247">
        <v>1.75</v>
      </c>
      <c r="D247" s="72">
        <f>PRODUCTOS[[#This Row],[V/U VENTA]]*PRODUCTOS[[#This Row],[CANTIDAD]]</f>
        <v>1.75</v>
      </c>
      <c r="E247">
        <v>5</v>
      </c>
      <c r="F247">
        <v>10</v>
      </c>
      <c r="G247">
        <v>1</v>
      </c>
      <c r="H247">
        <v>1</v>
      </c>
      <c r="I247" t="s">
        <v>1319</v>
      </c>
      <c r="J247" s="72">
        <v>0</v>
      </c>
    </row>
    <row r="248" spans="1:10" x14ac:dyDescent="0.25">
      <c r="A248" t="s">
        <v>860</v>
      </c>
      <c r="B248" s="1" t="s">
        <v>1773</v>
      </c>
      <c r="C248">
        <v>1.25</v>
      </c>
      <c r="D248" s="72">
        <f>PRODUCTOS[[#This Row],[V/U VENTA]]*PRODUCTOS[[#This Row],[CANTIDAD]]</f>
        <v>1.25</v>
      </c>
      <c r="E248">
        <v>5</v>
      </c>
      <c r="F248">
        <v>10</v>
      </c>
      <c r="G248">
        <v>1</v>
      </c>
      <c r="H248">
        <v>1</v>
      </c>
      <c r="I248" t="s">
        <v>1319</v>
      </c>
      <c r="J248" s="72">
        <v>0</v>
      </c>
    </row>
    <row r="249" spans="1:10" x14ac:dyDescent="0.25">
      <c r="A249" t="s">
        <v>861</v>
      </c>
      <c r="B249" s="1" t="s">
        <v>419</v>
      </c>
      <c r="C249">
        <v>5.8</v>
      </c>
      <c r="D249" s="72">
        <f>PRODUCTOS[[#This Row],[V/U VENTA]]*PRODUCTOS[[#This Row],[CANTIDAD]]</f>
        <v>0</v>
      </c>
      <c r="E249">
        <v>5</v>
      </c>
      <c r="F249">
        <v>10</v>
      </c>
      <c r="G249">
        <v>0</v>
      </c>
      <c r="H249">
        <v>1</v>
      </c>
      <c r="I249" t="s">
        <v>1319</v>
      </c>
      <c r="J249" s="72">
        <v>0</v>
      </c>
    </row>
    <row r="250" spans="1:10" x14ac:dyDescent="0.25">
      <c r="A250" t="s">
        <v>862</v>
      </c>
      <c r="B250" s="1" t="s">
        <v>456</v>
      </c>
      <c r="C250">
        <v>6</v>
      </c>
      <c r="D250" s="72">
        <f>PRODUCTOS[[#This Row],[V/U VENTA]]*PRODUCTOS[[#This Row],[CANTIDAD]]</f>
        <v>6</v>
      </c>
      <c r="E250">
        <v>5</v>
      </c>
      <c r="F250">
        <v>10</v>
      </c>
      <c r="G250">
        <v>1</v>
      </c>
      <c r="H250">
        <v>1</v>
      </c>
      <c r="I250" t="s">
        <v>1319</v>
      </c>
      <c r="J250" s="72">
        <v>0</v>
      </c>
    </row>
    <row r="251" spans="1:10" x14ac:dyDescent="0.25">
      <c r="A251" t="s">
        <v>863</v>
      </c>
      <c r="B251" s="1" t="s">
        <v>1774</v>
      </c>
      <c r="C251">
        <v>3.5</v>
      </c>
      <c r="D251" s="72">
        <f>PRODUCTOS[[#This Row],[V/U VENTA]]*PRODUCTOS[[#This Row],[CANTIDAD]]</f>
        <v>7</v>
      </c>
      <c r="E251">
        <v>5</v>
      </c>
      <c r="F251">
        <v>10</v>
      </c>
      <c r="G251">
        <v>2</v>
      </c>
      <c r="H251">
        <v>1</v>
      </c>
      <c r="I251" t="s">
        <v>1319</v>
      </c>
      <c r="J251" s="72">
        <v>0</v>
      </c>
    </row>
    <row r="252" spans="1:10" x14ac:dyDescent="0.25">
      <c r="A252" t="s">
        <v>864</v>
      </c>
      <c r="B252" s="1" t="s">
        <v>411</v>
      </c>
      <c r="C252">
        <v>5</v>
      </c>
      <c r="D252" s="72">
        <f>PRODUCTOS[[#This Row],[V/U VENTA]]*PRODUCTOS[[#This Row],[CANTIDAD]]</f>
        <v>0</v>
      </c>
      <c r="E252">
        <v>5</v>
      </c>
      <c r="F252">
        <v>10</v>
      </c>
      <c r="G252">
        <v>0</v>
      </c>
      <c r="H252">
        <v>1</v>
      </c>
      <c r="I252" t="s">
        <v>1319</v>
      </c>
      <c r="J252" s="72">
        <v>0</v>
      </c>
    </row>
    <row r="253" spans="1:10" x14ac:dyDescent="0.25">
      <c r="A253" t="s">
        <v>865</v>
      </c>
      <c r="B253" s="1" t="s">
        <v>412</v>
      </c>
      <c r="C253">
        <v>6</v>
      </c>
      <c r="D253" s="72">
        <f>PRODUCTOS[[#This Row],[V/U VENTA]]*PRODUCTOS[[#This Row],[CANTIDAD]]</f>
        <v>0</v>
      </c>
      <c r="E253">
        <v>5</v>
      </c>
      <c r="F253">
        <v>10</v>
      </c>
      <c r="G253">
        <v>0</v>
      </c>
      <c r="H253">
        <v>1</v>
      </c>
      <c r="I253" t="s">
        <v>1319</v>
      </c>
      <c r="J253" s="72">
        <v>0</v>
      </c>
    </row>
    <row r="254" spans="1:10" x14ac:dyDescent="0.25">
      <c r="A254" t="s">
        <v>866</v>
      </c>
      <c r="B254" s="1" t="s">
        <v>418</v>
      </c>
      <c r="C254">
        <v>5.8</v>
      </c>
      <c r="D254" s="72">
        <f>PRODUCTOS[[#This Row],[V/U VENTA]]*PRODUCTOS[[#This Row],[CANTIDAD]]</f>
        <v>0</v>
      </c>
      <c r="E254">
        <v>5</v>
      </c>
      <c r="F254">
        <v>10</v>
      </c>
      <c r="G254">
        <v>0</v>
      </c>
      <c r="H254">
        <v>1</v>
      </c>
      <c r="I254" t="s">
        <v>1319</v>
      </c>
      <c r="J254" s="72">
        <v>0</v>
      </c>
    </row>
    <row r="255" spans="1:10" x14ac:dyDescent="0.25">
      <c r="A255" t="s">
        <v>867</v>
      </c>
      <c r="B255" s="1" t="s">
        <v>1438</v>
      </c>
      <c r="C255">
        <v>3</v>
      </c>
      <c r="D255" s="72">
        <f>PRODUCTOS[[#This Row],[V/U VENTA]]*PRODUCTOS[[#This Row],[CANTIDAD]]</f>
        <v>0</v>
      </c>
      <c r="E255">
        <v>5</v>
      </c>
      <c r="F255">
        <v>10</v>
      </c>
      <c r="G255">
        <v>0</v>
      </c>
      <c r="H255">
        <v>1</v>
      </c>
      <c r="I255" t="s">
        <v>1319</v>
      </c>
      <c r="J255" s="72">
        <v>0</v>
      </c>
    </row>
    <row r="256" spans="1:10" x14ac:dyDescent="0.25">
      <c r="A256" t="s">
        <v>868</v>
      </c>
      <c r="B256" s="1" t="s">
        <v>468</v>
      </c>
      <c r="C256">
        <v>6.74</v>
      </c>
      <c r="D256" s="72">
        <f>PRODUCTOS[[#This Row],[V/U VENTA]]*PRODUCTOS[[#This Row],[CANTIDAD]]</f>
        <v>6.74</v>
      </c>
      <c r="E256">
        <v>5</v>
      </c>
      <c r="F256">
        <v>10</v>
      </c>
      <c r="G256">
        <v>1</v>
      </c>
      <c r="H256">
        <v>1</v>
      </c>
      <c r="I256" t="s">
        <v>1319</v>
      </c>
      <c r="J256" s="72">
        <v>0</v>
      </c>
    </row>
    <row r="257" spans="1:10" x14ac:dyDescent="0.25">
      <c r="A257" t="s">
        <v>869</v>
      </c>
      <c r="B257" s="1" t="s">
        <v>467</v>
      </c>
      <c r="C257">
        <v>5.8</v>
      </c>
      <c r="D257" s="72">
        <f>PRODUCTOS[[#This Row],[V/U VENTA]]*PRODUCTOS[[#This Row],[CANTIDAD]]</f>
        <v>5.8</v>
      </c>
      <c r="E257">
        <v>5</v>
      </c>
      <c r="F257">
        <v>10</v>
      </c>
      <c r="G257">
        <v>1</v>
      </c>
      <c r="H257">
        <v>1</v>
      </c>
      <c r="I257" t="s">
        <v>1319</v>
      </c>
      <c r="J257" s="72">
        <v>0</v>
      </c>
    </row>
    <row r="258" spans="1:10" x14ac:dyDescent="0.25">
      <c r="A258" t="s">
        <v>870</v>
      </c>
      <c r="B258" s="1" t="s">
        <v>168</v>
      </c>
      <c r="C258">
        <v>1.25</v>
      </c>
      <c r="D258" s="72">
        <f>PRODUCTOS[[#This Row],[V/U VENTA]]*PRODUCTOS[[#This Row],[CANTIDAD]]</f>
        <v>35</v>
      </c>
      <c r="E258">
        <v>5</v>
      </c>
      <c r="F258">
        <v>10</v>
      </c>
      <c r="G258">
        <v>28</v>
      </c>
      <c r="H258">
        <v>1</v>
      </c>
      <c r="I258" t="s">
        <v>1319</v>
      </c>
      <c r="J258" s="72">
        <v>0</v>
      </c>
    </row>
    <row r="259" spans="1:10" x14ac:dyDescent="0.25">
      <c r="A259" t="s">
        <v>871</v>
      </c>
      <c r="B259" s="1" t="s">
        <v>368</v>
      </c>
      <c r="C259">
        <v>14.23</v>
      </c>
      <c r="D259" s="72">
        <f>PRODUCTOS[[#This Row],[V/U VENTA]]*PRODUCTOS[[#This Row],[CANTIDAD]]</f>
        <v>0</v>
      </c>
      <c r="E259">
        <v>5</v>
      </c>
      <c r="F259">
        <v>10</v>
      </c>
      <c r="G259">
        <v>0</v>
      </c>
      <c r="H259">
        <v>1</v>
      </c>
      <c r="I259" t="s">
        <v>1319</v>
      </c>
      <c r="J259" s="72">
        <v>0</v>
      </c>
    </row>
    <row r="260" spans="1:10" x14ac:dyDescent="0.25">
      <c r="A260" t="s">
        <v>872</v>
      </c>
      <c r="B260" s="1" t="s">
        <v>165</v>
      </c>
      <c r="C260">
        <v>1</v>
      </c>
      <c r="D260" s="72">
        <f>PRODUCTOS[[#This Row],[V/U VENTA]]*PRODUCTOS[[#This Row],[CANTIDAD]]</f>
        <v>0</v>
      </c>
      <c r="E260">
        <v>5</v>
      </c>
      <c r="F260">
        <v>10</v>
      </c>
      <c r="G260">
        <v>0</v>
      </c>
      <c r="H260">
        <v>1</v>
      </c>
      <c r="I260" t="s">
        <v>1319</v>
      </c>
      <c r="J260" s="72">
        <v>0</v>
      </c>
    </row>
    <row r="261" spans="1:10" x14ac:dyDescent="0.25">
      <c r="A261" t="s">
        <v>873</v>
      </c>
      <c r="B261" s="1" t="s">
        <v>194</v>
      </c>
      <c r="C261">
        <v>1.7</v>
      </c>
      <c r="D261" s="72">
        <f>PRODUCTOS[[#This Row],[V/U VENTA]]*PRODUCTOS[[#This Row],[CANTIDAD]]</f>
        <v>47.6</v>
      </c>
      <c r="E261">
        <v>5</v>
      </c>
      <c r="F261">
        <v>10</v>
      </c>
      <c r="G261">
        <v>28</v>
      </c>
      <c r="H261">
        <v>1</v>
      </c>
      <c r="I261" t="s">
        <v>1320</v>
      </c>
      <c r="J261" s="72">
        <v>0</v>
      </c>
    </row>
    <row r="262" spans="1:10" x14ac:dyDescent="0.25">
      <c r="A262" t="s">
        <v>874</v>
      </c>
      <c r="B262" s="1" t="s">
        <v>1775</v>
      </c>
      <c r="C262">
        <v>3.8</v>
      </c>
      <c r="D262" s="72">
        <f>PRODUCTOS[[#This Row],[V/U VENTA]]*PRODUCTOS[[#This Row],[CANTIDAD]]</f>
        <v>3.8</v>
      </c>
      <c r="E262">
        <v>5</v>
      </c>
      <c r="F262">
        <v>10</v>
      </c>
      <c r="G262">
        <v>1</v>
      </c>
      <c r="H262">
        <v>1</v>
      </c>
      <c r="I262" t="s">
        <v>1319</v>
      </c>
      <c r="J262" s="72">
        <v>0</v>
      </c>
    </row>
    <row r="263" spans="1:10" x14ac:dyDescent="0.25">
      <c r="A263" t="s">
        <v>875</v>
      </c>
      <c r="B263" s="1" t="s">
        <v>382</v>
      </c>
      <c r="C263">
        <v>23</v>
      </c>
      <c r="D263" s="72">
        <f>PRODUCTOS[[#This Row],[V/U VENTA]]*PRODUCTOS[[#This Row],[CANTIDAD]]</f>
        <v>23</v>
      </c>
      <c r="E263">
        <v>5</v>
      </c>
      <c r="F263">
        <v>10</v>
      </c>
      <c r="G263">
        <v>1</v>
      </c>
      <c r="H263">
        <v>1</v>
      </c>
      <c r="I263" t="s">
        <v>1319</v>
      </c>
      <c r="J263" s="72">
        <v>0</v>
      </c>
    </row>
    <row r="264" spans="1:10" x14ac:dyDescent="0.25">
      <c r="A264" t="s">
        <v>876</v>
      </c>
      <c r="B264" s="1" t="s">
        <v>96</v>
      </c>
      <c r="C264">
        <v>0.99</v>
      </c>
      <c r="D264" s="72">
        <f>PRODUCTOS[[#This Row],[V/U VENTA]]*PRODUCTOS[[#This Row],[CANTIDAD]]</f>
        <v>0</v>
      </c>
      <c r="E264">
        <v>5</v>
      </c>
      <c r="F264">
        <v>10</v>
      </c>
      <c r="G264">
        <v>0</v>
      </c>
      <c r="H264">
        <v>1</v>
      </c>
      <c r="I264" t="s">
        <v>1319</v>
      </c>
      <c r="J264" s="72">
        <v>0</v>
      </c>
    </row>
    <row r="265" spans="1:10" x14ac:dyDescent="0.25">
      <c r="A265" t="s">
        <v>877</v>
      </c>
      <c r="B265" s="1" t="s">
        <v>207</v>
      </c>
      <c r="C265">
        <v>10.9</v>
      </c>
      <c r="D265" s="72">
        <f>PRODUCTOS[[#This Row],[V/U VENTA]]*PRODUCTOS[[#This Row],[CANTIDAD]]</f>
        <v>0</v>
      </c>
      <c r="E265">
        <v>5</v>
      </c>
      <c r="F265">
        <v>10</v>
      </c>
      <c r="G265">
        <v>0</v>
      </c>
      <c r="H265">
        <v>1</v>
      </c>
      <c r="I265" t="s">
        <v>1319</v>
      </c>
      <c r="J265" s="72">
        <v>0</v>
      </c>
    </row>
    <row r="266" spans="1:10" x14ac:dyDescent="0.25">
      <c r="A266" t="s">
        <v>878</v>
      </c>
      <c r="B266" s="1" t="s">
        <v>193</v>
      </c>
      <c r="C266">
        <v>15</v>
      </c>
      <c r="D266" s="72">
        <f>PRODUCTOS[[#This Row],[V/U VENTA]]*PRODUCTOS[[#This Row],[CANTIDAD]]</f>
        <v>0</v>
      </c>
      <c r="E266">
        <v>5</v>
      </c>
      <c r="F266">
        <v>10</v>
      </c>
      <c r="G266">
        <v>0</v>
      </c>
      <c r="H266">
        <v>1</v>
      </c>
      <c r="I266" t="s">
        <v>1319</v>
      </c>
      <c r="J266" s="72">
        <v>0</v>
      </c>
    </row>
    <row r="267" spans="1:10" x14ac:dyDescent="0.25">
      <c r="A267" t="s">
        <v>879</v>
      </c>
      <c r="B267" s="1" t="s">
        <v>430</v>
      </c>
      <c r="C267">
        <v>3.75</v>
      </c>
      <c r="D267" s="72">
        <f>PRODUCTOS[[#This Row],[V/U VENTA]]*PRODUCTOS[[#This Row],[CANTIDAD]]</f>
        <v>7.5</v>
      </c>
      <c r="E267">
        <v>5</v>
      </c>
      <c r="F267">
        <v>10</v>
      </c>
      <c r="G267">
        <v>2</v>
      </c>
      <c r="H267">
        <v>1</v>
      </c>
      <c r="I267" t="s">
        <v>1320</v>
      </c>
      <c r="J267" s="72">
        <v>0</v>
      </c>
    </row>
    <row r="268" spans="1:10" x14ac:dyDescent="0.25">
      <c r="A268" t="s">
        <v>880</v>
      </c>
      <c r="B268" s="1" t="s">
        <v>429</v>
      </c>
      <c r="C268">
        <v>2.75</v>
      </c>
      <c r="D268" s="72">
        <f>PRODUCTOS[[#This Row],[V/U VENTA]]*PRODUCTOS[[#This Row],[CANTIDAD]]</f>
        <v>0</v>
      </c>
      <c r="E268">
        <v>5</v>
      </c>
      <c r="F268">
        <v>10</v>
      </c>
      <c r="G268">
        <v>0</v>
      </c>
      <c r="H268">
        <v>1</v>
      </c>
      <c r="I268" t="s">
        <v>1319</v>
      </c>
      <c r="J268" s="72">
        <v>0</v>
      </c>
    </row>
    <row r="269" spans="1:10" x14ac:dyDescent="0.25">
      <c r="A269" t="s">
        <v>881</v>
      </c>
      <c r="B269" s="1" t="s">
        <v>107</v>
      </c>
      <c r="C269">
        <v>4</v>
      </c>
      <c r="D269" s="72">
        <f>PRODUCTOS[[#This Row],[V/U VENTA]]*PRODUCTOS[[#This Row],[CANTIDAD]]</f>
        <v>8</v>
      </c>
      <c r="E269">
        <v>5</v>
      </c>
      <c r="F269">
        <v>10</v>
      </c>
      <c r="G269">
        <v>2</v>
      </c>
      <c r="H269">
        <v>1</v>
      </c>
      <c r="I269" t="s">
        <v>1319</v>
      </c>
      <c r="J269" s="72">
        <v>0</v>
      </c>
    </row>
    <row r="270" spans="1:10" x14ac:dyDescent="0.25">
      <c r="A270" t="s">
        <v>882</v>
      </c>
      <c r="B270" s="1" t="s">
        <v>82</v>
      </c>
      <c r="C270">
        <v>10</v>
      </c>
      <c r="D270" s="72">
        <f>PRODUCTOS[[#This Row],[V/U VENTA]]*PRODUCTOS[[#This Row],[CANTIDAD]]</f>
        <v>10</v>
      </c>
      <c r="E270">
        <v>5</v>
      </c>
      <c r="F270">
        <v>10</v>
      </c>
      <c r="G270">
        <v>1</v>
      </c>
      <c r="H270">
        <v>1</v>
      </c>
      <c r="I270" t="s">
        <v>1320</v>
      </c>
      <c r="J270" s="72">
        <v>0</v>
      </c>
    </row>
    <row r="271" spans="1:10" x14ac:dyDescent="0.25">
      <c r="A271" t="s">
        <v>883</v>
      </c>
      <c r="B271" s="1" t="s">
        <v>75</v>
      </c>
      <c r="C271">
        <v>10.73</v>
      </c>
      <c r="D271" s="72">
        <f>PRODUCTOS[[#This Row],[V/U VENTA]]*PRODUCTOS[[#This Row],[CANTIDAD]]</f>
        <v>0</v>
      </c>
      <c r="E271">
        <v>5</v>
      </c>
      <c r="F271">
        <v>10</v>
      </c>
      <c r="G271">
        <v>0</v>
      </c>
      <c r="H271">
        <v>1</v>
      </c>
      <c r="I271" t="s">
        <v>1320</v>
      </c>
      <c r="J271" s="72">
        <v>0</v>
      </c>
    </row>
    <row r="272" spans="1:10" x14ac:dyDescent="0.25">
      <c r="A272" t="s">
        <v>884</v>
      </c>
      <c r="B272" s="1" t="s">
        <v>408</v>
      </c>
      <c r="C272">
        <v>8.5</v>
      </c>
      <c r="D272" s="72">
        <f>PRODUCTOS[[#This Row],[V/U VENTA]]*PRODUCTOS[[#This Row],[CANTIDAD]]</f>
        <v>17</v>
      </c>
      <c r="E272">
        <v>5</v>
      </c>
      <c r="F272">
        <v>10</v>
      </c>
      <c r="G272">
        <v>2</v>
      </c>
      <c r="H272">
        <v>1</v>
      </c>
      <c r="I272" t="s">
        <v>1319</v>
      </c>
      <c r="J272" s="72">
        <v>0</v>
      </c>
    </row>
    <row r="273" spans="1:10" x14ac:dyDescent="0.25">
      <c r="A273" t="s">
        <v>885</v>
      </c>
      <c r="B273" s="1" t="s">
        <v>407</v>
      </c>
      <c r="C273">
        <v>6.8</v>
      </c>
      <c r="D273" s="72">
        <f>PRODUCTOS[[#This Row],[V/U VENTA]]*PRODUCTOS[[#This Row],[CANTIDAD]]</f>
        <v>0</v>
      </c>
      <c r="E273">
        <v>5</v>
      </c>
      <c r="F273">
        <v>10</v>
      </c>
      <c r="G273">
        <v>0</v>
      </c>
      <c r="H273">
        <v>1</v>
      </c>
      <c r="I273" t="s">
        <v>1319</v>
      </c>
      <c r="J273" s="72">
        <v>0</v>
      </c>
    </row>
    <row r="274" spans="1:10" x14ac:dyDescent="0.25">
      <c r="A274" t="s">
        <v>886</v>
      </c>
      <c r="B274" s="1" t="s">
        <v>552</v>
      </c>
      <c r="C274">
        <v>0.99</v>
      </c>
      <c r="D274" s="72">
        <f>PRODUCTOS[[#This Row],[V/U VENTA]]*PRODUCTOS[[#This Row],[CANTIDAD]]</f>
        <v>19.8</v>
      </c>
      <c r="E274">
        <v>5</v>
      </c>
      <c r="F274">
        <v>10</v>
      </c>
      <c r="G274">
        <v>20</v>
      </c>
      <c r="H274">
        <v>1</v>
      </c>
      <c r="I274" t="s">
        <v>1319</v>
      </c>
      <c r="J274" s="72">
        <v>0</v>
      </c>
    </row>
    <row r="275" spans="1:10" x14ac:dyDescent="0.25">
      <c r="A275" t="s">
        <v>887</v>
      </c>
      <c r="B275" s="1" t="s">
        <v>1776</v>
      </c>
      <c r="C275">
        <v>5.4</v>
      </c>
      <c r="D275" s="72">
        <f>PRODUCTOS[[#This Row],[V/U VENTA]]*PRODUCTOS[[#This Row],[CANTIDAD]]</f>
        <v>16.200000000000003</v>
      </c>
      <c r="E275">
        <v>5</v>
      </c>
      <c r="F275">
        <v>10</v>
      </c>
      <c r="G275">
        <v>3</v>
      </c>
      <c r="H275">
        <v>1</v>
      </c>
      <c r="I275" t="s">
        <v>1319</v>
      </c>
      <c r="J275" s="72">
        <v>0</v>
      </c>
    </row>
    <row r="276" spans="1:10" x14ac:dyDescent="0.25">
      <c r="A276" t="s">
        <v>888</v>
      </c>
      <c r="B276" s="1" t="s">
        <v>599</v>
      </c>
      <c r="C276">
        <v>3.5</v>
      </c>
      <c r="D276" s="72">
        <f>PRODUCTOS[[#This Row],[V/U VENTA]]*PRODUCTOS[[#This Row],[CANTIDAD]]</f>
        <v>3.5</v>
      </c>
      <c r="E276">
        <v>5</v>
      </c>
      <c r="F276">
        <v>10</v>
      </c>
      <c r="G276">
        <v>1</v>
      </c>
      <c r="H276">
        <v>1</v>
      </c>
      <c r="I276" t="s">
        <v>1319</v>
      </c>
      <c r="J276" s="72">
        <v>0</v>
      </c>
    </row>
    <row r="277" spans="1:10" x14ac:dyDescent="0.25">
      <c r="A277" t="s">
        <v>889</v>
      </c>
      <c r="B277" s="1" t="s">
        <v>1777</v>
      </c>
      <c r="C277">
        <v>2.5</v>
      </c>
      <c r="D277" s="72">
        <f>PRODUCTOS[[#This Row],[V/U VENTA]]*PRODUCTOS[[#This Row],[CANTIDAD]]</f>
        <v>7.5</v>
      </c>
      <c r="E277">
        <v>5</v>
      </c>
      <c r="F277">
        <v>10</v>
      </c>
      <c r="G277">
        <v>3</v>
      </c>
      <c r="H277">
        <v>1</v>
      </c>
      <c r="I277" t="s">
        <v>1319</v>
      </c>
      <c r="J277" s="72">
        <v>0</v>
      </c>
    </row>
    <row r="278" spans="1:10" x14ac:dyDescent="0.25">
      <c r="A278" t="s">
        <v>890</v>
      </c>
      <c r="B278" s="1" t="s">
        <v>1778</v>
      </c>
      <c r="C278">
        <v>3.89</v>
      </c>
      <c r="D278" s="72">
        <f>PRODUCTOS[[#This Row],[V/U VENTA]]*PRODUCTOS[[#This Row],[CANTIDAD]]</f>
        <v>0</v>
      </c>
      <c r="E278">
        <v>5</v>
      </c>
      <c r="F278">
        <v>10</v>
      </c>
      <c r="G278">
        <v>0</v>
      </c>
      <c r="H278">
        <v>1</v>
      </c>
      <c r="I278" t="s">
        <v>1319</v>
      </c>
      <c r="J278" s="72">
        <v>0</v>
      </c>
    </row>
    <row r="279" spans="1:10" x14ac:dyDescent="0.25">
      <c r="A279" t="s">
        <v>891</v>
      </c>
      <c r="B279" s="1" t="s">
        <v>1779</v>
      </c>
      <c r="C279">
        <v>3</v>
      </c>
      <c r="D279" s="72">
        <f>PRODUCTOS[[#This Row],[V/U VENTA]]*PRODUCTOS[[#This Row],[CANTIDAD]]</f>
        <v>9</v>
      </c>
      <c r="E279">
        <v>5</v>
      </c>
      <c r="F279">
        <v>10</v>
      </c>
      <c r="G279">
        <v>3</v>
      </c>
      <c r="H279">
        <v>1</v>
      </c>
      <c r="I279" t="s">
        <v>1319</v>
      </c>
      <c r="J279" s="72">
        <v>0</v>
      </c>
    </row>
    <row r="280" spans="1:10" x14ac:dyDescent="0.25">
      <c r="A280" t="s">
        <v>892</v>
      </c>
      <c r="B280" s="1" t="s">
        <v>1439</v>
      </c>
      <c r="C280">
        <v>2</v>
      </c>
      <c r="D280" s="72">
        <f>PRODUCTOS[[#This Row],[V/U VENTA]]*PRODUCTOS[[#This Row],[CANTIDAD]]</f>
        <v>4</v>
      </c>
      <c r="E280">
        <v>5</v>
      </c>
      <c r="F280">
        <v>10</v>
      </c>
      <c r="G280">
        <v>2</v>
      </c>
      <c r="H280">
        <v>1</v>
      </c>
      <c r="I280" t="s">
        <v>1319</v>
      </c>
      <c r="J280" s="72">
        <v>0</v>
      </c>
    </row>
    <row r="281" spans="1:10" x14ac:dyDescent="0.25">
      <c r="A281" t="s">
        <v>893</v>
      </c>
      <c r="B281" s="1" t="s">
        <v>1440</v>
      </c>
      <c r="C281">
        <v>4</v>
      </c>
      <c r="D281" s="72">
        <f>PRODUCTOS[[#This Row],[V/U VENTA]]*PRODUCTOS[[#This Row],[CANTIDAD]]</f>
        <v>8</v>
      </c>
      <c r="E281">
        <v>5</v>
      </c>
      <c r="F281">
        <v>10</v>
      </c>
      <c r="G281">
        <v>2</v>
      </c>
      <c r="H281">
        <v>1</v>
      </c>
      <c r="I281" t="s">
        <v>1319</v>
      </c>
      <c r="J281" s="72">
        <v>0</v>
      </c>
    </row>
    <row r="282" spans="1:10" x14ac:dyDescent="0.25">
      <c r="A282" t="s">
        <v>894</v>
      </c>
      <c r="B282" s="1" t="s">
        <v>1441</v>
      </c>
      <c r="C282">
        <v>2.5</v>
      </c>
      <c r="D282" s="72">
        <f>PRODUCTOS[[#This Row],[V/U VENTA]]*PRODUCTOS[[#This Row],[CANTIDAD]]</f>
        <v>2.5</v>
      </c>
      <c r="E282">
        <v>5</v>
      </c>
      <c r="F282">
        <v>10</v>
      </c>
      <c r="G282">
        <v>1</v>
      </c>
      <c r="H282">
        <v>1</v>
      </c>
      <c r="I282" t="s">
        <v>1319</v>
      </c>
      <c r="J282" s="72">
        <v>0</v>
      </c>
    </row>
    <row r="283" spans="1:10" x14ac:dyDescent="0.25">
      <c r="A283" t="s">
        <v>895</v>
      </c>
      <c r="B283" s="1" t="s">
        <v>1442</v>
      </c>
      <c r="C283">
        <v>2.8</v>
      </c>
      <c r="D283" s="72">
        <f>PRODUCTOS[[#This Row],[V/U VENTA]]*PRODUCTOS[[#This Row],[CANTIDAD]]</f>
        <v>5.6</v>
      </c>
      <c r="E283">
        <v>5</v>
      </c>
      <c r="F283">
        <v>10</v>
      </c>
      <c r="G283">
        <v>2</v>
      </c>
      <c r="H283">
        <v>1</v>
      </c>
      <c r="I283" t="s">
        <v>1319</v>
      </c>
      <c r="J283" s="72">
        <v>0</v>
      </c>
    </row>
    <row r="284" spans="1:10" x14ac:dyDescent="0.25">
      <c r="A284" t="s">
        <v>896</v>
      </c>
      <c r="B284" s="1" t="s">
        <v>1443</v>
      </c>
      <c r="C284">
        <v>4</v>
      </c>
      <c r="D284" s="72">
        <f>PRODUCTOS[[#This Row],[V/U VENTA]]*PRODUCTOS[[#This Row],[CANTIDAD]]</f>
        <v>4</v>
      </c>
      <c r="E284">
        <v>5</v>
      </c>
      <c r="F284">
        <v>10</v>
      </c>
      <c r="G284">
        <v>1</v>
      </c>
      <c r="H284">
        <v>1</v>
      </c>
      <c r="I284" t="s">
        <v>1319</v>
      </c>
      <c r="J284" s="72">
        <v>0</v>
      </c>
    </row>
    <row r="285" spans="1:10" x14ac:dyDescent="0.25">
      <c r="A285" t="s">
        <v>897</v>
      </c>
      <c r="B285" s="1" t="s">
        <v>445</v>
      </c>
      <c r="C285">
        <v>3.4</v>
      </c>
      <c r="D285" s="72">
        <f>PRODUCTOS[[#This Row],[V/U VENTA]]*PRODUCTOS[[#This Row],[CANTIDAD]]</f>
        <v>0</v>
      </c>
      <c r="E285">
        <v>5</v>
      </c>
      <c r="F285">
        <v>10</v>
      </c>
      <c r="G285">
        <v>0</v>
      </c>
      <c r="H285">
        <v>1</v>
      </c>
      <c r="I285" t="s">
        <v>1319</v>
      </c>
      <c r="J285" s="72">
        <v>0</v>
      </c>
    </row>
    <row r="286" spans="1:10" x14ac:dyDescent="0.25">
      <c r="A286" t="s">
        <v>898</v>
      </c>
      <c r="B286" s="1" t="s">
        <v>444</v>
      </c>
      <c r="C286">
        <v>2.1</v>
      </c>
      <c r="D286" s="72">
        <f>PRODUCTOS[[#This Row],[V/U VENTA]]*PRODUCTOS[[#This Row],[CANTIDAD]]</f>
        <v>4.2</v>
      </c>
      <c r="E286">
        <v>5</v>
      </c>
      <c r="F286">
        <v>10</v>
      </c>
      <c r="G286">
        <v>2</v>
      </c>
      <c r="H286">
        <v>1</v>
      </c>
      <c r="I286" t="s">
        <v>1319</v>
      </c>
      <c r="J286" s="72">
        <v>0</v>
      </c>
    </row>
    <row r="287" spans="1:10" x14ac:dyDescent="0.25">
      <c r="A287" t="s">
        <v>899</v>
      </c>
      <c r="B287" s="1" t="s">
        <v>381</v>
      </c>
      <c r="C287">
        <v>6</v>
      </c>
      <c r="D287" s="72">
        <f>PRODUCTOS[[#This Row],[V/U VENTA]]*PRODUCTOS[[#This Row],[CANTIDAD]]</f>
        <v>18</v>
      </c>
      <c r="E287">
        <v>5</v>
      </c>
      <c r="F287">
        <v>10</v>
      </c>
      <c r="G287">
        <v>3</v>
      </c>
      <c r="H287">
        <v>1</v>
      </c>
      <c r="I287" t="s">
        <v>1319</v>
      </c>
      <c r="J287" s="72">
        <v>0</v>
      </c>
    </row>
    <row r="288" spans="1:10" x14ac:dyDescent="0.25">
      <c r="A288" t="s">
        <v>900</v>
      </c>
      <c r="B288" s="1" t="s">
        <v>289</v>
      </c>
      <c r="C288">
        <v>0.5</v>
      </c>
      <c r="D288" s="72">
        <f>PRODUCTOS[[#This Row],[V/U VENTA]]*PRODUCTOS[[#This Row],[CANTIDAD]]</f>
        <v>1.5</v>
      </c>
      <c r="E288">
        <v>5</v>
      </c>
      <c r="F288">
        <v>10</v>
      </c>
      <c r="G288">
        <v>3</v>
      </c>
      <c r="H288">
        <v>1</v>
      </c>
      <c r="I288" t="s">
        <v>1319</v>
      </c>
      <c r="J288" s="72">
        <v>0</v>
      </c>
    </row>
    <row r="289" spans="1:10" x14ac:dyDescent="0.25">
      <c r="A289" t="s">
        <v>901</v>
      </c>
      <c r="B289" s="1" t="s">
        <v>1444</v>
      </c>
      <c r="C289">
        <v>0.6</v>
      </c>
      <c r="D289" s="72">
        <f>PRODUCTOS[[#This Row],[V/U VENTA]]*PRODUCTOS[[#This Row],[CANTIDAD]]</f>
        <v>0</v>
      </c>
      <c r="E289">
        <v>5</v>
      </c>
      <c r="F289">
        <v>10</v>
      </c>
      <c r="G289">
        <v>0</v>
      </c>
      <c r="H289">
        <v>1</v>
      </c>
      <c r="I289" t="s">
        <v>1319</v>
      </c>
      <c r="J289" s="72">
        <v>0</v>
      </c>
    </row>
    <row r="290" spans="1:10" x14ac:dyDescent="0.25">
      <c r="A290" t="s">
        <v>902</v>
      </c>
      <c r="B290" s="1" t="s">
        <v>540</v>
      </c>
      <c r="C290">
        <v>0.2</v>
      </c>
      <c r="D290" s="72">
        <f>PRODUCTOS[[#This Row],[V/U VENTA]]*PRODUCTOS[[#This Row],[CANTIDAD]]</f>
        <v>47.6</v>
      </c>
      <c r="E290">
        <v>5</v>
      </c>
      <c r="F290">
        <v>10</v>
      </c>
      <c r="G290">
        <v>238</v>
      </c>
      <c r="H290">
        <v>1</v>
      </c>
      <c r="I290" t="s">
        <v>1319</v>
      </c>
      <c r="J290" s="72">
        <v>0</v>
      </c>
    </row>
    <row r="291" spans="1:10" x14ac:dyDescent="0.25">
      <c r="A291" t="s">
        <v>903</v>
      </c>
      <c r="B291" s="1" t="s">
        <v>541</v>
      </c>
      <c r="C291">
        <v>0.5</v>
      </c>
      <c r="D291" s="72">
        <f>PRODUCTOS[[#This Row],[V/U VENTA]]*PRODUCTOS[[#This Row],[CANTIDAD]]</f>
        <v>31.5</v>
      </c>
      <c r="E291">
        <v>5</v>
      </c>
      <c r="F291">
        <v>10</v>
      </c>
      <c r="G291">
        <v>63</v>
      </c>
      <c r="H291">
        <v>1</v>
      </c>
      <c r="I291" t="s">
        <v>1319</v>
      </c>
      <c r="J291" s="72">
        <v>0</v>
      </c>
    </row>
    <row r="292" spans="1:10" x14ac:dyDescent="0.25">
      <c r="A292" t="s">
        <v>904</v>
      </c>
      <c r="B292" s="1" t="s">
        <v>30</v>
      </c>
      <c r="C292">
        <v>1.25</v>
      </c>
      <c r="D292" s="72">
        <f>PRODUCTOS[[#This Row],[V/U VENTA]]*PRODUCTOS[[#This Row],[CANTIDAD]]</f>
        <v>63.75</v>
      </c>
      <c r="E292">
        <v>5</v>
      </c>
      <c r="F292">
        <v>10</v>
      </c>
      <c r="G292">
        <v>51</v>
      </c>
      <c r="H292">
        <v>1</v>
      </c>
      <c r="I292" t="s">
        <v>1319</v>
      </c>
      <c r="J292" s="72">
        <v>0</v>
      </c>
    </row>
    <row r="293" spans="1:10" x14ac:dyDescent="0.25">
      <c r="A293" t="s">
        <v>905</v>
      </c>
      <c r="B293" s="1" t="s">
        <v>1445</v>
      </c>
      <c r="C293">
        <v>4.5</v>
      </c>
      <c r="D293" s="72">
        <f>PRODUCTOS[[#This Row],[V/U VENTA]]*PRODUCTOS[[#This Row],[CANTIDAD]]</f>
        <v>22.5</v>
      </c>
      <c r="E293">
        <v>5</v>
      </c>
      <c r="F293">
        <v>10</v>
      </c>
      <c r="G293">
        <v>5</v>
      </c>
      <c r="H293">
        <v>1</v>
      </c>
      <c r="I293" t="s">
        <v>1319</v>
      </c>
      <c r="J293" s="72">
        <v>0</v>
      </c>
    </row>
    <row r="294" spans="1:10" x14ac:dyDescent="0.25">
      <c r="A294" t="s">
        <v>906</v>
      </c>
      <c r="B294" s="1" t="s">
        <v>1446</v>
      </c>
      <c r="C294">
        <v>3.2</v>
      </c>
      <c r="D294" s="72">
        <f>PRODUCTOS[[#This Row],[V/U VENTA]]*PRODUCTOS[[#This Row],[CANTIDAD]]</f>
        <v>6.4</v>
      </c>
      <c r="E294">
        <v>5</v>
      </c>
      <c r="F294">
        <v>10</v>
      </c>
      <c r="G294">
        <v>2</v>
      </c>
      <c r="H294">
        <v>1</v>
      </c>
      <c r="I294" t="s">
        <v>1319</v>
      </c>
      <c r="J294" s="72">
        <v>0</v>
      </c>
    </row>
    <row r="295" spans="1:10" x14ac:dyDescent="0.25">
      <c r="A295" t="s">
        <v>907</v>
      </c>
      <c r="B295" s="1" t="s">
        <v>1447</v>
      </c>
      <c r="C295">
        <v>3</v>
      </c>
      <c r="D295" s="72">
        <f>PRODUCTOS[[#This Row],[V/U VENTA]]*PRODUCTOS[[#This Row],[CANTIDAD]]</f>
        <v>12</v>
      </c>
      <c r="E295">
        <v>5</v>
      </c>
      <c r="F295">
        <v>10</v>
      </c>
      <c r="G295">
        <v>4</v>
      </c>
      <c r="H295">
        <v>1</v>
      </c>
      <c r="I295" t="s">
        <v>1319</v>
      </c>
      <c r="J295" s="72">
        <v>0</v>
      </c>
    </row>
    <row r="296" spans="1:10" x14ac:dyDescent="0.25">
      <c r="A296" t="s">
        <v>908</v>
      </c>
      <c r="B296" s="1" t="s">
        <v>169</v>
      </c>
      <c r="C296">
        <v>0.48</v>
      </c>
      <c r="D296" s="72">
        <f>PRODUCTOS[[#This Row],[V/U VENTA]]*PRODUCTOS[[#This Row],[CANTIDAD]]</f>
        <v>28.32</v>
      </c>
      <c r="E296">
        <v>5</v>
      </c>
      <c r="F296">
        <v>10</v>
      </c>
      <c r="G296">
        <v>59</v>
      </c>
      <c r="H296">
        <v>1</v>
      </c>
      <c r="I296" t="s">
        <v>1319</v>
      </c>
      <c r="J296" s="72">
        <v>0</v>
      </c>
    </row>
    <row r="297" spans="1:10" x14ac:dyDescent="0.25">
      <c r="A297" t="s">
        <v>909</v>
      </c>
      <c r="B297" s="1" t="s">
        <v>170</v>
      </c>
      <c r="C297">
        <v>0.25</v>
      </c>
      <c r="D297" s="72">
        <f>PRODUCTOS[[#This Row],[V/U VENTA]]*PRODUCTOS[[#This Row],[CANTIDAD]]</f>
        <v>4.5</v>
      </c>
      <c r="E297">
        <v>5</v>
      </c>
      <c r="F297">
        <v>10</v>
      </c>
      <c r="G297">
        <v>18</v>
      </c>
      <c r="H297">
        <v>1</v>
      </c>
      <c r="I297" t="s">
        <v>1319</v>
      </c>
      <c r="J297" s="72">
        <v>0</v>
      </c>
    </row>
    <row r="298" spans="1:10" x14ac:dyDescent="0.25">
      <c r="A298" t="s">
        <v>910</v>
      </c>
      <c r="B298" s="1" t="s">
        <v>280</v>
      </c>
      <c r="C298">
        <v>5.5</v>
      </c>
      <c r="D298" s="72">
        <f>PRODUCTOS[[#This Row],[V/U VENTA]]*PRODUCTOS[[#This Row],[CANTIDAD]]</f>
        <v>5.5</v>
      </c>
      <c r="E298">
        <v>5</v>
      </c>
      <c r="F298">
        <v>10</v>
      </c>
      <c r="G298">
        <v>1</v>
      </c>
      <c r="H298">
        <v>1</v>
      </c>
      <c r="I298" t="s">
        <v>1319</v>
      </c>
      <c r="J298" s="72">
        <v>0</v>
      </c>
    </row>
    <row r="299" spans="1:10" x14ac:dyDescent="0.25">
      <c r="A299" t="s">
        <v>911</v>
      </c>
      <c r="B299" s="1" t="s">
        <v>272</v>
      </c>
      <c r="C299">
        <v>0.42</v>
      </c>
      <c r="D299" s="72">
        <f>PRODUCTOS[[#This Row],[V/U VENTA]]*PRODUCTOS[[#This Row],[CANTIDAD]]</f>
        <v>2.1</v>
      </c>
      <c r="E299">
        <v>5</v>
      </c>
      <c r="F299">
        <v>10</v>
      </c>
      <c r="G299">
        <v>5</v>
      </c>
      <c r="H299">
        <v>1</v>
      </c>
      <c r="I299" t="s">
        <v>1320</v>
      </c>
      <c r="J299" s="72">
        <v>0</v>
      </c>
    </row>
    <row r="300" spans="1:10" x14ac:dyDescent="0.25">
      <c r="A300" t="s">
        <v>912</v>
      </c>
      <c r="B300" s="1" t="s">
        <v>275</v>
      </c>
      <c r="C300">
        <v>0.5</v>
      </c>
      <c r="D300" s="72">
        <f>PRODUCTOS[[#This Row],[V/U VENTA]]*PRODUCTOS[[#This Row],[CANTIDAD]]</f>
        <v>16</v>
      </c>
      <c r="E300">
        <v>5</v>
      </c>
      <c r="F300">
        <v>10</v>
      </c>
      <c r="G300">
        <v>32</v>
      </c>
      <c r="H300">
        <v>1</v>
      </c>
      <c r="I300" t="s">
        <v>1319</v>
      </c>
      <c r="J300" s="72">
        <v>0</v>
      </c>
    </row>
    <row r="301" spans="1:10" x14ac:dyDescent="0.25">
      <c r="A301" t="s">
        <v>913</v>
      </c>
      <c r="B301" s="1" t="s">
        <v>1780</v>
      </c>
      <c r="C301">
        <v>0.4</v>
      </c>
      <c r="D301" s="72">
        <f>PRODUCTOS[[#This Row],[V/U VENTA]]*PRODUCTOS[[#This Row],[CANTIDAD]]</f>
        <v>6</v>
      </c>
      <c r="E301">
        <v>5</v>
      </c>
      <c r="F301">
        <v>10</v>
      </c>
      <c r="G301">
        <v>15</v>
      </c>
      <c r="H301">
        <v>1</v>
      </c>
      <c r="I301" t="s">
        <v>1319</v>
      </c>
      <c r="J301" s="72">
        <v>0</v>
      </c>
    </row>
    <row r="302" spans="1:10" x14ac:dyDescent="0.25">
      <c r="A302" t="s">
        <v>914</v>
      </c>
      <c r="B302" s="1" t="s">
        <v>57</v>
      </c>
      <c r="C302">
        <v>1.5</v>
      </c>
      <c r="D302" s="72">
        <f>PRODUCTOS[[#This Row],[V/U VENTA]]*PRODUCTOS[[#This Row],[CANTIDAD]]</f>
        <v>3</v>
      </c>
      <c r="E302">
        <v>5</v>
      </c>
      <c r="F302">
        <v>10</v>
      </c>
      <c r="G302">
        <v>2</v>
      </c>
      <c r="H302">
        <v>1</v>
      </c>
      <c r="I302" t="s">
        <v>1319</v>
      </c>
      <c r="J302" s="72">
        <v>0</v>
      </c>
    </row>
    <row r="303" spans="1:10" x14ac:dyDescent="0.25">
      <c r="A303" t="s">
        <v>915</v>
      </c>
      <c r="B303" s="1" t="s">
        <v>44</v>
      </c>
      <c r="C303">
        <v>0.7</v>
      </c>
      <c r="D303" s="72">
        <f>PRODUCTOS[[#This Row],[V/U VENTA]]*PRODUCTOS[[#This Row],[CANTIDAD]]</f>
        <v>0</v>
      </c>
      <c r="E303">
        <v>5</v>
      </c>
      <c r="F303">
        <v>10</v>
      </c>
      <c r="G303">
        <v>0</v>
      </c>
      <c r="H303">
        <v>1</v>
      </c>
      <c r="I303" t="s">
        <v>1320</v>
      </c>
      <c r="J303" s="72">
        <v>0</v>
      </c>
    </row>
    <row r="304" spans="1:10" x14ac:dyDescent="0.25">
      <c r="A304" t="s">
        <v>916</v>
      </c>
      <c r="B304" s="1" t="s">
        <v>43</v>
      </c>
      <c r="C304">
        <v>0.5</v>
      </c>
      <c r="D304" s="72">
        <f>PRODUCTOS[[#This Row],[V/U VENTA]]*PRODUCTOS[[#This Row],[CANTIDAD]]</f>
        <v>0.5</v>
      </c>
      <c r="E304">
        <v>5</v>
      </c>
      <c r="F304">
        <v>10</v>
      </c>
      <c r="G304">
        <v>1</v>
      </c>
      <c r="H304">
        <v>1</v>
      </c>
      <c r="I304" t="s">
        <v>1319</v>
      </c>
      <c r="J304" s="72">
        <v>0</v>
      </c>
    </row>
    <row r="305" spans="1:10" x14ac:dyDescent="0.25">
      <c r="A305" t="s">
        <v>917</v>
      </c>
      <c r="B305" s="1" t="s">
        <v>42</v>
      </c>
      <c r="C305">
        <v>0.6</v>
      </c>
      <c r="D305" s="72">
        <f>PRODUCTOS[[#This Row],[V/U VENTA]]*PRODUCTOS[[#This Row],[CANTIDAD]]</f>
        <v>1.2</v>
      </c>
      <c r="E305">
        <v>5</v>
      </c>
      <c r="F305">
        <v>10</v>
      </c>
      <c r="G305">
        <v>2</v>
      </c>
      <c r="H305">
        <v>1</v>
      </c>
      <c r="I305" t="s">
        <v>1320</v>
      </c>
      <c r="J305" s="72">
        <v>0</v>
      </c>
    </row>
    <row r="306" spans="1:10" x14ac:dyDescent="0.25">
      <c r="A306" t="s">
        <v>918</v>
      </c>
      <c r="B306" s="1" t="s">
        <v>41</v>
      </c>
      <c r="C306">
        <v>2.5</v>
      </c>
      <c r="D306" s="72">
        <f>PRODUCTOS[[#This Row],[V/U VENTA]]*PRODUCTOS[[#This Row],[CANTIDAD]]</f>
        <v>0</v>
      </c>
      <c r="E306">
        <v>5</v>
      </c>
      <c r="F306">
        <v>10</v>
      </c>
      <c r="G306">
        <v>0</v>
      </c>
      <c r="H306">
        <v>1</v>
      </c>
      <c r="I306" t="s">
        <v>1320</v>
      </c>
      <c r="J306" s="72">
        <v>0</v>
      </c>
    </row>
    <row r="307" spans="1:10" x14ac:dyDescent="0.25">
      <c r="A307" t="s">
        <v>919</v>
      </c>
      <c r="B307" s="1" t="s">
        <v>190</v>
      </c>
      <c r="C307">
        <v>2.2000000000000002</v>
      </c>
      <c r="D307" s="72">
        <f>PRODUCTOS[[#This Row],[V/U VENTA]]*PRODUCTOS[[#This Row],[CANTIDAD]]</f>
        <v>28.6</v>
      </c>
      <c r="E307">
        <v>5</v>
      </c>
      <c r="F307">
        <v>10</v>
      </c>
      <c r="G307">
        <v>13</v>
      </c>
      <c r="H307">
        <v>1</v>
      </c>
      <c r="I307" t="s">
        <v>1319</v>
      </c>
      <c r="J307" s="72">
        <v>0</v>
      </c>
    </row>
    <row r="308" spans="1:10" x14ac:dyDescent="0.25">
      <c r="A308" t="s">
        <v>920</v>
      </c>
      <c r="B308" s="1" t="s">
        <v>374</v>
      </c>
      <c r="C308">
        <v>0.55000000000000004</v>
      </c>
      <c r="D308" s="72">
        <f>PRODUCTOS[[#This Row],[V/U VENTA]]*PRODUCTOS[[#This Row],[CANTIDAD]]</f>
        <v>15.950000000000001</v>
      </c>
      <c r="E308">
        <v>5</v>
      </c>
      <c r="F308">
        <v>10</v>
      </c>
      <c r="G308">
        <v>29</v>
      </c>
      <c r="H308">
        <v>1</v>
      </c>
      <c r="I308" t="s">
        <v>1320</v>
      </c>
      <c r="J308" s="72">
        <v>0</v>
      </c>
    </row>
    <row r="309" spans="1:10" x14ac:dyDescent="0.25">
      <c r="A309" t="s">
        <v>921</v>
      </c>
      <c r="B309" s="1" t="s">
        <v>1448</v>
      </c>
      <c r="C309">
        <v>4.5</v>
      </c>
      <c r="D309" s="72">
        <f>PRODUCTOS[[#This Row],[V/U VENTA]]*PRODUCTOS[[#This Row],[CANTIDAD]]</f>
        <v>4.5</v>
      </c>
      <c r="E309">
        <v>5</v>
      </c>
      <c r="F309">
        <v>10</v>
      </c>
      <c r="G309">
        <v>1</v>
      </c>
      <c r="H309">
        <v>1</v>
      </c>
      <c r="I309" t="s">
        <v>1320</v>
      </c>
      <c r="J309" s="72">
        <v>0</v>
      </c>
    </row>
    <row r="310" spans="1:10" x14ac:dyDescent="0.25">
      <c r="A310" t="s">
        <v>922</v>
      </c>
      <c r="B310" s="1" t="s">
        <v>369</v>
      </c>
      <c r="C310">
        <v>4.5</v>
      </c>
      <c r="D310" s="72">
        <f>PRODUCTOS[[#This Row],[V/U VENTA]]*PRODUCTOS[[#This Row],[CANTIDAD]]</f>
        <v>81</v>
      </c>
      <c r="E310">
        <v>5</v>
      </c>
      <c r="F310">
        <v>10</v>
      </c>
      <c r="G310">
        <v>18</v>
      </c>
      <c r="H310">
        <v>1</v>
      </c>
      <c r="I310" t="s">
        <v>1319</v>
      </c>
      <c r="J310" s="72">
        <v>0</v>
      </c>
    </row>
    <row r="311" spans="1:10" x14ac:dyDescent="0.25">
      <c r="A311" t="s">
        <v>923</v>
      </c>
      <c r="B311" s="1" t="s">
        <v>372</v>
      </c>
      <c r="C311">
        <v>0.75</v>
      </c>
      <c r="D311" s="72">
        <f>PRODUCTOS[[#This Row],[V/U VENTA]]*PRODUCTOS[[#This Row],[CANTIDAD]]</f>
        <v>44.25</v>
      </c>
      <c r="E311">
        <v>5</v>
      </c>
      <c r="F311">
        <v>10</v>
      </c>
      <c r="G311">
        <v>59</v>
      </c>
      <c r="H311">
        <v>1</v>
      </c>
      <c r="I311" t="s">
        <v>1320</v>
      </c>
      <c r="J311" s="72">
        <v>0</v>
      </c>
    </row>
    <row r="312" spans="1:10" x14ac:dyDescent="0.25">
      <c r="A312" t="s">
        <v>924</v>
      </c>
      <c r="B312" s="1" t="s">
        <v>373</v>
      </c>
      <c r="C312">
        <v>1.25</v>
      </c>
      <c r="D312" s="72">
        <f>PRODUCTOS[[#This Row],[V/U VENTA]]*PRODUCTOS[[#This Row],[CANTIDAD]]</f>
        <v>31.25</v>
      </c>
      <c r="E312">
        <v>5</v>
      </c>
      <c r="F312">
        <v>10</v>
      </c>
      <c r="G312">
        <v>25</v>
      </c>
      <c r="H312">
        <v>1</v>
      </c>
      <c r="I312" t="s">
        <v>1319</v>
      </c>
      <c r="J312" s="72">
        <v>0</v>
      </c>
    </row>
    <row r="313" spans="1:10" x14ac:dyDescent="0.25">
      <c r="A313" t="s">
        <v>925</v>
      </c>
      <c r="B313" s="1" t="s">
        <v>573</v>
      </c>
      <c r="C313">
        <v>2</v>
      </c>
      <c r="D313" s="72">
        <f>PRODUCTOS[[#This Row],[V/U VENTA]]*PRODUCTOS[[#This Row],[CANTIDAD]]</f>
        <v>0</v>
      </c>
      <c r="E313">
        <v>5</v>
      </c>
      <c r="F313">
        <v>10</v>
      </c>
      <c r="G313">
        <v>0</v>
      </c>
      <c r="H313">
        <v>1</v>
      </c>
      <c r="I313" t="s">
        <v>1319</v>
      </c>
      <c r="J313" s="72">
        <v>0</v>
      </c>
    </row>
    <row r="314" spans="1:10" x14ac:dyDescent="0.25">
      <c r="A314" t="s">
        <v>926</v>
      </c>
      <c r="B314" s="1" t="s">
        <v>183</v>
      </c>
      <c r="C314">
        <v>1.94</v>
      </c>
      <c r="D314" s="72">
        <f>PRODUCTOS[[#This Row],[V/U VENTA]]*PRODUCTOS[[#This Row],[CANTIDAD]]</f>
        <v>19.399999999999999</v>
      </c>
      <c r="E314">
        <v>5</v>
      </c>
      <c r="F314">
        <v>10</v>
      </c>
      <c r="G314">
        <v>10</v>
      </c>
      <c r="H314">
        <v>1</v>
      </c>
      <c r="I314" t="s">
        <v>1319</v>
      </c>
      <c r="J314" s="72">
        <v>0</v>
      </c>
    </row>
    <row r="315" spans="1:10" x14ac:dyDescent="0.25">
      <c r="A315" t="s">
        <v>927</v>
      </c>
      <c r="B315" s="1" t="s">
        <v>375</v>
      </c>
      <c r="C315">
        <v>0.65</v>
      </c>
      <c r="D315" s="72">
        <f>PRODUCTOS[[#This Row],[V/U VENTA]]*PRODUCTOS[[#This Row],[CANTIDAD]]</f>
        <v>0</v>
      </c>
      <c r="E315">
        <v>5</v>
      </c>
      <c r="F315">
        <v>10</v>
      </c>
      <c r="G315">
        <v>0</v>
      </c>
      <c r="H315">
        <v>1</v>
      </c>
      <c r="I315" t="s">
        <v>1319</v>
      </c>
      <c r="J315" s="72">
        <v>0</v>
      </c>
    </row>
    <row r="316" spans="1:10" x14ac:dyDescent="0.25">
      <c r="A316" t="s">
        <v>928</v>
      </c>
      <c r="B316" s="1" t="s">
        <v>293</v>
      </c>
      <c r="C316">
        <v>0.5</v>
      </c>
      <c r="D316" s="72">
        <f>PRODUCTOS[[#This Row],[V/U VENTA]]*PRODUCTOS[[#This Row],[CANTIDAD]]</f>
        <v>8.5</v>
      </c>
      <c r="E316">
        <v>5</v>
      </c>
      <c r="F316">
        <v>10</v>
      </c>
      <c r="G316">
        <v>17</v>
      </c>
      <c r="H316">
        <v>1</v>
      </c>
      <c r="I316" t="s">
        <v>1320</v>
      </c>
      <c r="J316" s="72">
        <v>0</v>
      </c>
    </row>
    <row r="317" spans="1:10" x14ac:dyDescent="0.25">
      <c r="A317" t="s">
        <v>929</v>
      </c>
      <c r="B317" s="1" t="s">
        <v>579</v>
      </c>
      <c r="C317">
        <v>4</v>
      </c>
      <c r="D317" s="72">
        <f>PRODUCTOS[[#This Row],[V/U VENTA]]*PRODUCTOS[[#This Row],[CANTIDAD]]</f>
        <v>0</v>
      </c>
      <c r="E317">
        <v>5</v>
      </c>
      <c r="F317">
        <v>10</v>
      </c>
      <c r="G317">
        <v>0</v>
      </c>
      <c r="H317">
        <v>1</v>
      </c>
      <c r="I317" t="s">
        <v>1320</v>
      </c>
      <c r="J317" s="72">
        <v>0</v>
      </c>
    </row>
    <row r="318" spans="1:10" x14ac:dyDescent="0.25">
      <c r="A318" t="s">
        <v>930</v>
      </c>
      <c r="B318" s="1" t="s">
        <v>292</v>
      </c>
      <c r="C318">
        <v>0.65</v>
      </c>
      <c r="D318" s="72">
        <f>PRODUCTOS[[#This Row],[V/U VENTA]]*PRODUCTOS[[#This Row],[CANTIDAD]]</f>
        <v>5.2</v>
      </c>
      <c r="E318">
        <v>5</v>
      </c>
      <c r="F318">
        <v>10</v>
      </c>
      <c r="G318">
        <v>8</v>
      </c>
      <c r="H318">
        <v>1</v>
      </c>
      <c r="I318" t="s">
        <v>1319</v>
      </c>
      <c r="J318" s="72">
        <v>0</v>
      </c>
    </row>
    <row r="319" spans="1:10" x14ac:dyDescent="0.25">
      <c r="A319" t="s">
        <v>931</v>
      </c>
      <c r="B319" s="1" t="s">
        <v>210</v>
      </c>
      <c r="C319">
        <v>15</v>
      </c>
      <c r="D319" s="72">
        <f>PRODUCTOS[[#This Row],[V/U VENTA]]*PRODUCTOS[[#This Row],[CANTIDAD]]</f>
        <v>0</v>
      </c>
      <c r="E319">
        <v>5</v>
      </c>
      <c r="F319">
        <v>10</v>
      </c>
      <c r="G319">
        <v>0</v>
      </c>
      <c r="H319">
        <v>1</v>
      </c>
      <c r="I319" t="s">
        <v>1320</v>
      </c>
      <c r="J319" s="72">
        <v>0</v>
      </c>
    </row>
    <row r="320" spans="1:10" x14ac:dyDescent="0.25">
      <c r="A320" t="s">
        <v>932</v>
      </c>
      <c r="B320" s="1" t="s">
        <v>1449</v>
      </c>
      <c r="C320">
        <v>1</v>
      </c>
      <c r="D320" s="72">
        <f>PRODUCTOS[[#This Row],[V/U VENTA]]*PRODUCTOS[[#This Row],[CANTIDAD]]</f>
        <v>3</v>
      </c>
      <c r="E320">
        <v>5</v>
      </c>
      <c r="F320">
        <v>10</v>
      </c>
      <c r="G320">
        <v>3</v>
      </c>
      <c r="H320">
        <v>1</v>
      </c>
      <c r="I320" t="s">
        <v>1319</v>
      </c>
      <c r="J320" s="72">
        <v>0</v>
      </c>
    </row>
    <row r="321" spans="1:10" x14ac:dyDescent="0.25">
      <c r="A321" t="s">
        <v>933</v>
      </c>
      <c r="B321" s="1" t="s">
        <v>1450</v>
      </c>
      <c r="C321">
        <v>1.25</v>
      </c>
      <c r="D321" s="72">
        <f>PRODUCTOS[[#This Row],[V/U VENTA]]*PRODUCTOS[[#This Row],[CANTIDAD]]</f>
        <v>1.25</v>
      </c>
      <c r="E321">
        <v>5</v>
      </c>
      <c r="F321">
        <v>10</v>
      </c>
      <c r="G321">
        <v>1</v>
      </c>
      <c r="H321">
        <v>1</v>
      </c>
      <c r="I321" t="s">
        <v>1320</v>
      </c>
      <c r="J321" s="72">
        <v>0</v>
      </c>
    </row>
    <row r="322" spans="1:10" x14ac:dyDescent="0.25">
      <c r="A322" t="s">
        <v>934</v>
      </c>
      <c r="B322" s="1" t="s">
        <v>403</v>
      </c>
      <c r="C322">
        <v>6</v>
      </c>
      <c r="D322" s="72">
        <f>PRODUCTOS[[#This Row],[V/U VENTA]]*PRODUCTOS[[#This Row],[CANTIDAD]]</f>
        <v>6</v>
      </c>
      <c r="E322">
        <v>5</v>
      </c>
      <c r="F322">
        <v>10</v>
      </c>
      <c r="G322">
        <v>1</v>
      </c>
      <c r="H322">
        <v>1</v>
      </c>
      <c r="I322" t="s">
        <v>1319</v>
      </c>
      <c r="J322" s="72">
        <v>0</v>
      </c>
    </row>
    <row r="323" spans="1:10" x14ac:dyDescent="0.25">
      <c r="A323" t="s">
        <v>935</v>
      </c>
      <c r="B323" s="1" t="s">
        <v>154</v>
      </c>
      <c r="C323">
        <v>0.2</v>
      </c>
      <c r="D323" s="72">
        <f>PRODUCTOS[[#This Row],[V/U VENTA]]*PRODUCTOS[[#This Row],[CANTIDAD]]</f>
        <v>2</v>
      </c>
      <c r="E323">
        <v>5</v>
      </c>
      <c r="F323">
        <v>10</v>
      </c>
      <c r="G323">
        <v>10</v>
      </c>
      <c r="H323">
        <v>1</v>
      </c>
      <c r="I323" t="s">
        <v>1319</v>
      </c>
      <c r="J323" s="72">
        <v>0</v>
      </c>
    </row>
    <row r="324" spans="1:10" x14ac:dyDescent="0.25">
      <c r="A324" t="s">
        <v>936</v>
      </c>
      <c r="B324" s="1" t="s">
        <v>262</v>
      </c>
      <c r="C324">
        <v>0.15</v>
      </c>
      <c r="D324" s="72">
        <f>PRODUCTOS[[#This Row],[V/U VENTA]]*PRODUCTOS[[#This Row],[CANTIDAD]]</f>
        <v>5.7</v>
      </c>
      <c r="E324">
        <v>5</v>
      </c>
      <c r="F324">
        <v>10</v>
      </c>
      <c r="G324">
        <v>38</v>
      </c>
      <c r="H324">
        <v>1</v>
      </c>
      <c r="I324" t="s">
        <v>1319</v>
      </c>
      <c r="J324" s="72">
        <v>0</v>
      </c>
    </row>
    <row r="325" spans="1:10" x14ac:dyDescent="0.25">
      <c r="A325" t="s">
        <v>937</v>
      </c>
      <c r="B325" s="1" t="s">
        <v>1451</v>
      </c>
      <c r="C325">
        <v>0.1</v>
      </c>
      <c r="D325" s="72">
        <f>PRODUCTOS[[#This Row],[V/U VENTA]]*PRODUCTOS[[#This Row],[CANTIDAD]]</f>
        <v>10</v>
      </c>
      <c r="E325">
        <v>5</v>
      </c>
      <c r="F325">
        <v>10</v>
      </c>
      <c r="G325">
        <v>100</v>
      </c>
      <c r="H325">
        <v>1</v>
      </c>
      <c r="I325" t="s">
        <v>1319</v>
      </c>
      <c r="J325" s="72">
        <v>0</v>
      </c>
    </row>
    <row r="326" spans="1:10" x14ac:dyDescent="0.25">
      <c r="A326" t="s">
        <v>938</v>
      </c>
      <c r="B326" s="1" t="s">
        <v>1452</v>
      </c>
      <c r="C326">
        <v>0.15</v>
      </c>
      <c r="D326" s="72">
        <f>PRODUCTOS[[#This Row],[V/U VENTA]]*PRODUCTOS[[#This Row],[CANTIDAD]]</f>
        <v>0</v>
      </c>
      <c r="E326">
        <v>5</v>
      </c>
      <c r="F326">
        <v>10</v>
      </c>
      <c r="G326">
        <v>0</v>
      </c>
      <c r="H326">
        <v>1</v>
      </c>
      <c r="I326" t="s">
        <v>1319</v>
      </c>
      <c r="J326" s="72">
        <v>0</v>
      </c>
    </row>
    <row r="327" spans="1:10" x14ac:dyDescent="0.25">
      <c r="A327" t="s">
        <v>939</v>
      </c>
      <c r="B327" s="1" t="s">
        <v>146</v>
      </c>
      <c r="C327">
        <v>0.1</v>
      </c>
      <c r="D327" s="72">
        <f>PRODUCTOS[[#This Row],[V/U VENTA]]*PRODUCTOS[[#This Row],[CANTIDAD]]</f>
        <v>5</v>
      </c>
      <c r="E327">
        <v>5</v>
      </c>
      <c r="F327">
        <v>10</v>
      </c>
      <c r="G327">
        <v>50</v>
      </c>
      <c r="H327">
        <v>1</v>
      </c>
      <c r="I327" t="s">
        <v>1319</v>
      </c>
      <c r="J327" s="72">
        <v>0</v>
      </c>
    </row>
    <row r="328" spans="1:10" x14ac:dyDescent="0.25">
      <c r="A328" t="s">
        <v>940</v>
      </c>
      <c r="B328" s="1" t="s">
        <v>436</v>
      </c>
      <c r="C328">
        <v>6.3</v>
      </c>
      <c r="D328" s="72">
        <f>PRODUCTOS[[#This Row],[V/U VENTA]]*PRODUCTOS[[#This Row],[CANTIDAD]]</f>
        <v>0</v>
      </c>
      <c r="E328">
        <v>5</v>
      </c>
      <c r="F328">
        <v>10</v>
      </c>
      <c r="G328">
        <v>0</v>
      </c>
      <c r="H328">
        <v>1</v>
      </c>
      <c r="I328" t="s">
        <v>1319</v>
      </c>
      <c r="J328" s="72">
        <v>0</v>
      </c>
    </row>
    <row r="329" spans="1:10" x14ac:dyDescent="0.25">
      <c r="A329" t="s">
        <v>941</v>
      </c>
      <c r="B329" s="1" t="s">
        <v>279</v>
      </c>
      <c r="C329">
        <v>1.2</v>
      </c>
      <c r="D329" s="72">
        <f>PRODUCTOS[[#This Row],[V/U VENTA]]*PRODUCTOS[[#This Row],[CANTIDAD]]</f>
        <v>0</v>
      </c>
      <c r="E329">
        <v>5</v>
      </c>
      <c r="F329">
        <v>10</v>
      </c>
      <c r="G329">
        <v>0</v>
      </c>
      <c r="H329">
        <v>1</v>
      </c>
      <c r="I329" t="s">
        <v>1319</v>
      </c>
      <c r="J329" s="72">
        <v>0</v>
      </c>
    </row>
    <row r="330" spans="1:10" x14ac:dyDescent="0.25">
      <c r="A330" t="s">
        <v>942</v>
      </c>
      <c r="B330" s="1" t="s">
        <v>396</v>
      </c>
      <c r="C330">
        <v>10.5</v>
      </c>
      <c r="D330" s="72">
        <f>PRODUCTOS[[#This Row],[V/U VENTA]]*PRODUCTOS[[#This Row],[CANTIDAD]]</f>
        <v>0</v>
      </c>
      <c r="E330">
        <v>5</v>
      </c>
      <c r="F330">
        <v>10</v>
      </c>
      <c r="G330">
        <v>0</v>
      </c>
      <c r="H330">
        <v>1</v>
      </c>
      <c r="I330" t="s">
        <v>1319</v>
      </c>
      <c r="J330" s="72">
        <v>0</v>
      </c>
    </row>
    <row r="331" spans="1:10" x14ac:dyDescent="0.25">
      <c r="A331" t="s">
        <v>943</v>
      </c>
      <c r="B331" s="1" t="s">
        <v>395</v>
      </c>
      <c r="C331">
        <v>10.19</v>
      </c>
      <c r="D331" s="72">
        <f>PRODUCTOS[[#This Row],[V/U VENTA]]*PRODUCTOS[[#This Row],[CANTIDAD]]</f>
        <v>30.57</v>
      </c>
      <c r="E331">
        <v>5</v>
      </c>
      <c r="F331">
        <v>10</v>
      </c>
      <c r="G331">
        <v>3</v>
      </c>
      <c r="H331">
        <v>1</v>
      </c>
      <c r="I331" t="s">
        <v>1319</v>
      </c>
      <c r="J331" s="72">
        <v>0</v>
      </c>
    </row>
    <row r="332" spans="1:10" x14ac:dyDescent="0.25">
      <c r="A332" t="s">
        <v>944</v>
      </c>
      <c r="B332" s="1" t="s">
        <v>394</v>
      </c>
      <c r="C332">
        <v>20.3</v>
      </c>
      <c r="D332" s="72">
        <f>PRODUCTOS[[#This Row],[V/U VENTA]]*PRODUCTOS[[#This Row],[CANTIDAD]]</f>
        <v>20.3</v>
      </c>
      <c r="E332">
        <v>5</v>
      </c>
      <c r="F332">
        <v>10</v>
      </c>
      <c r="G332">
        <v>1</v>
      </c>
      <c r="H332">
        <v>1</v>
      </c>
      <c r="I332" t="s">
        <v>1319</v>
      </c>
      <c r="J332" s="72">
        <v>0</v>
      </c>
    </row>
    <row r="333" spans="1:10" x14ac:dyDescent="0.25">
      <c r="A333" t="s">
        <v>945</v>
      </c>
      <c r="B333" s="1" t="s">
        <v>1453</v>
      </c>
      <c r="C333">
        <v>1.1000000000000001</v>
      </c>
      <c r="D333" s="72">
        <f>PRODUCTOS[[#This Row],[V/U VENTA]]*PRODUCTOS[[#This Row],[CANTIDAD]]</f>
        <v>13.200000000000001</v>
      </c>
      <c r="E333">
        <v>5</v>
      </c>
      <c r="F333">
        <v>10</v>
      </c>
      <c r="G333">
        <v>12</v>
      </c>
      <c r="H333">
        <v>1</v>
      </c>
      <c r="I333" t="s">
        <v>1320</v>
      </c>
      <c r="J333" s="72">
        <v>0</v>
      </c>
    </row>
    <row r="334" spans="1:10" x14ac:dyDescent="0.25">
      <c r="A334" t="s">
        <v>946</v>
      </c>
      <c r="B334" s="1" t="s">
        <v>1781</v>
      </c>
      <c r="C334">
        <v>3.5</v>
      </c>
      <c r="D334" s="72">
        <f>PRODUCTOS[[#This Row],[V/U VENTA]]*PRODUCTOS[[#This Row],[CANTIDAD]]</f>
        <v>10.5</v>
      </c>
      <c r="E334">
        <v>5</v>
      </c>
      <c r="F334">
        <v>10</v>
      </c>
      <c r="G334">
        <v>3</v>
      </c>
      <c r="H334">
        <v>1</v>
      </c>
      <c r="I334" t="s">
        <v>1320</v>
      </c>
      <c r="J334" s="72">
        <v>0</v>
      </c>
    </row>
    <row r="335" spans="1:10" x14ac:dyDescent="0.25">
      <c r="A335" t="s">
        <v>947</v>
      </c>
      <c r="B335" s="1" t="s">
        <v>267</v>
      </c>
      <c r="C335">
        <v>22.2</v>
      </c>
      <c r="D335" s="72">
        <f>PRODUCTOS[[#This Row],[V/U VENTA]]*PRODUCTOS[[#This Row],[CANTIDAD]]</f>
        <v>44.4</v>
      </c>
      <c r="E335">
        <v>5</v>
      </c>
      <c r="F335">
        <v>10</v>
      </c>
      <c r="G335">
        <v>2</v>
      </c>
      <c r="H335">
        <v>1</v>
      </c>
      <c r="I335" t="s">
        <v>1319</v>
      </c>
      <c r="J335" s="72">
        <v>0</v>
      </c>
    </row>
    <row r="336" spans="1:10" x14ac:dyDescent="0.25">
      <c r="A336" t="s">
        <v>948</v>
      </c>
      <c r="B336" s="1" t="s">
        <v>268</v>
      </c>
      <c r="C336">
        <v>44.67</v>
      </c>
      <c r="D336" s="72">
        <f>PRODUCTOS[[#This Row],[V/U VENTA]]*PRODUCTOS[[#This Row],[CANTIDAD]]</f>
        <v>44.67</v>
      </c>
      <c r="E336">
        <v>5</v>
      </c>
      <c r="F336">
        <v>10</v>
      </c>
      <c r="G336">
        <v>1</v>
      </c>
      <c r="H336">
        <v>1</v>
      </c>
      <c r="I336" t="s">
        <v>1319</v>
      </c>
      <c r="J336" s="72">
        <v>0</v>
      </c>
    </row>
    <row r="337" spans="1:10" x14ac:dyDescent="0.25">
      <c r="A337" t="s">
        <v>949</v>
      </c>
      <c r="B337" s="1" t="s">
        <v>400</v>
      </c>
      <c r="C337">
        <v>38</v>
      </c>
      <c r="D337" s="72">
        <f>PRODUCTOS[[#This Row],[V/U VENTA]]*PRODUCTOS[[#This Row],[CANTIDAD]]</f>
        <v>0</v>
      </c>
      <c r="E337">
        <v>5</v>
      </c>
      <c r="F337">
        <v>10</v>
      </c>
      <c r="G337">
        <v>0</v>
      </c>
      <c r="H337">
        <v>1</v>
      </c>
      <c r="I337" t="s">
        <v>1319</v>
      </c>
      <c r="J337" s="72">
        <v>0</v>
      </c>
    </row>
    <row r="338" spans="1:10" x14ac:dyDescent="0.25">
      <c r="A338" t="s">
        <v>950</v>
      </c>
      <c r="B338" s="1" t="s">
        <v>295</v>
      </c>
      <c r="C338">
        <v>2.8</v>
      </c>
      <c r="D338" s="72">
        <f>PRODUCTOS[[#This Row],[V/U VENTA]]*PRODUCTOS[[#This Row],[CANTIDAD]]</f>
        <v>0</v>
      </c>
      <c r="E338">
        <v>5</v>
      </c>
      <c r="F338">
        <v>10</v>
      </c>
      <c r="G338">
        <v>0</v>
      </c>
      <c r="H338">
        <v>1</v>
      </c>
      <c r="I338" t="s">
        <v>1319</v>
      </c>
      <c r="J338" s="72">
        <v>0</v>
      </c>
    </row>
    <row r="339" spans="1:10" x14ac:dyDescent="0.25">
      <c r="A339" t="s">
        <v>951</v>
      </c>
      <c r="B339" s="1" t="s">
        <v>294</v>
      </c>
      <c r="C339">
        <v>1.25</v>
      </c>
      <c r="D339" s="72">
        <f>PRODUCTOS[[#This Row],[V/U VENTA]]*PRODUCTOS[[#This Row],[CANTIDAD]]</f>
        <v>0</v>
      </c>
      <c r="E339">
        <v>5</v>
      </c>
      <c r="F339">
        <v>10</v>
      </c>
      <c r="G339">
        <v>0</v>
      </c>
      <c r="H339">
        <v>1</v>
      </c>
      <c r="I339" t="s">
        <v>1319</v>
      </c>
      <c r="J339" s="72">
        <v>0</v>
      </c>
    </row>
    <row r="340" spans="1:10" x14ac:dyDescent="0.25">
      <c r="A340" t="s">
        <v>952</v>
      </c>
      <c r="B340" s="1" t="s">
        <v>171</v>
      </c>
      <c r="C340">
        <v>0.28000000000000003</v>
      </c>
      <c r="D340" s="72">
        <f>PRODUCTOS[[#This Row],[V/U VENTA]]*PRODUCTOS[[#This Row],[CANTIDAD]]</f>
        <v>25.76</v>
      </c>
      <c r="E340">
        <v>5</v>
      </c>
      <c r="F340">
        <v>10</v>
      </c>
      <c r="G340">
        <v>92</v>
      </c>
      <c r="H340">
        <v>1</v>
      </c>
      <c r="I340" t="s">
        <v>1319</v>
      </c>
      <c r="J340" s="72">
        <v>0</v>
      </c>
    </row>
    <row r="341" spans="1:10" x14ac:dyDescent="0.25">
      <c r="A341" t="s">
        <v>953</v>
      </c>
      <c r="B341" s="1" t="s">
        <v>553</v>
      </c>
      <c r="C341">
        <v>1.25</v>
      </c>
      <c r="D341" s="72">
        <f>PRODUCTOS[[#This Row],[V/U VENTA]]*PRODUCTOS[[#This Row],[CANTIDAD]]</f>
        <v>76.25</v>
      </c>
      <c r="E341">
        <v>5</v>
      </c>
      <c r="F341">
        <v>10</v>
      </c>
      <c r="G341">
        <v>61</v>
      </c>
      <c r="H341">
        <v>1</v>
      </c>
      <c r="I341" t="s">
        <v>1319</v>
      </c>
      <c r="J341" s="72">
        <v>0</v>
      </c>
    </row>
    <row r="342" spans="1:10" x14ac:dyDescent="0.25">
      <c r="A342" t="s">
        <v>954</v>
      </c>
      <c r="B342" s="1" t="s">
        <v>521</v>
      </c>
      <c r="C342">
        <v>2</v>
      </c>
      <c r="D342" s="72">
        <f>PRODUCTOS[[#This Row],[V/U VENTA]]*PRODUCTOS[[#This Row],[CANTIDAD]]</f>
        <v>14</v>
      </c>
      <c r="E342">
        <v>5</v>
      </c>
      <c r="F342">
        <v>10</v>
      </c>
      <c r="G342">
        <v>7</v>
      </c>
      <c r="H342">
        <v>1</v>
      </c>
      <c r="I342" t="s">
        <v>1319</v>
      </c>
      <c r="J342" s="72">
        <v>0</v>
      </c>
    </row>
    <row r="343" spans="1:10" x14ac:dyDescent="0.25">
      <c r="A343" t="s">
        <v>955</v>
      </c>
      <c r="B343" s="1" t="s">
        <v>87</v>
      </c>
      <c r="C343">
        <v>0.3</v>
      </c>
      <c r="D343" s="72">
        <f>PRODUCTOS[[#This Row],[V/U VENTA]]*PRODUCTOS[[#This Row],[CANTIDAD]]</f>
        <v>12.9</v>
      </c>
      <c r="E343">
        <v>5</v>
      </c>
      <c r="F343">
        <v>10</v>
      </c>
      <c r="G343">
        <v>43</v>
      </c>
      <c r="H343">
        <v>1</v>
      </c>
      <c r="I343" t="s">
        <v>1319</v>
      </c>
      <c r="J343" s="72">
        <v>0</v>
      </c>
    </row>
    <row r="344" spans="1:10" x14ac:dyDescent="0.25">
      <c r="A344" t="s">
        <v>956</v>
      </c>
      <c r="B344" s="1" t="s">
        <v>86</v>
      </c>
      <c r="C344">
        <v>4.49</v>
      </c>
      <c r="D344" s="72">
        <f>PRODUCTOS[[#This Row],[V/U VENTA]]*PRODUCTOS[[#This Row],[CANTIDAD]]</f>
        <v>4.49</v>
      </c>
      <c r="E344">
        <v>5</v>
      </c>
      <c r="F344">
        <v>10</v>
      </c>
      <c r="G344">
        <v>1</v>
      </c>
      <c r="H344">
        <v>1</v>
      </c>
      <c r="I344" t="s">
        <v>1319</v>
      </c>
      <c r="J344" s="72">
        <v>0</v>
      </c>
    </row>
    <row r="345" spans="1:10" x14ac:dyDescent="0.25">
      <c r="A345" t="s">
        <v>957</v>
      </c>
      <c r="B345" s="1" t="s">
        <v>85</v>
      </c>
      <c r="C345">
        <v>6</v>
      </c>
      <c r="D345" s="72">
        <f>PRODUCTOS[[#This Row],[V/U VENTA]]*PRODUCTOS[[#This Row],[CANTIDAD]]</f>
        <v>18</v>
      </c>
      <c r="E345">
        <v>5</v>
      </c>
      <c r="F345">
        <v>10</v>
      </c>
      <c r="G345">
        <v>3</v>
      </c>
      <c r="H345">
        <v>1</v>
      </c>
      <c r="I345" t="s">
        <v>1319</v>
      </c>
      <c r="J345" s="72">
        <v>0</v>
      </c>
    </row>
    <row r="346" spans="1:10" x14ac:dyDescent="0.25">
      <c r="A346" t="s">
        <v>958</v>
      </c>
      <c r="B346" s="1" t="s">
        <v>130</v>
      </c>
      <c r="C346">
        <v>0.47</v>
      </c>
      <c r="D346" s="72">
        <f>PRODUCTOS[[#This Row],[V/U VENTA]]*PRODUCTOS[[#This Row],[CANTIDAD]]</f>
        <v>1.41</v>
      </c>
      <c r="E346">
        <v>5</v>
      </c>
      <c r="F346">
        <v>10</v>
      </c>
      <c r="G346">
        <v>3</v>
      </c>
      <c r="H346">
        <v>1</v>
      </c>
      <c r="I346" t="s">
        <v>1319</v>
      </c>
      <c r="J346" s="72">
        <v>0</v>
      </c>
    </row>
    <row r="347" spans="1:10" x14ac:dyDescent="0.25">
      <c r="A347" t="s">
        <v>959</v>
      </c>
      <c r="B347" s="1" t="s">
        <v>131</v>
      </c>
      <c r="C347">
        <v>0.7</v>
      </c>
      <c r="D347" s="72">
        <f>PRODUCTOS[[#This Row],[V/U VENTA]]*PRODUCTOS[[#This Row],[CANTIDAD]]</f>
        <v>0</v>
      </c>
      <c r="E347">
        <v>5</v>
      </c>
      <c r="F347">
        <v>10</v>
      </c>
      <c r="G347">
        <v>0</v>
      </c>
      <c r="H347">
        <v>1</v>
      </c>
      <c r="I347" t="s">
        <v>1319</v>
      </c>
      <c r="J347" s="72">
        <v>0</v>
      </c>
    </row>
    <row r="348" spans="1:10" x14ac:dyDescent="0.25">
      <c r="A348" t="s">
        <v>960</v>
      </c>
      <c r="B348" s="1" t="s">
        <v>1454</v>
      </c>
      <c r="C348">
        <v>10.5</v>
      </c>
      <c r="D348" s="72">
        <f>PRODUCTOS[[#This Row],[V/U VENTA]]*PRODUCTOS[[#This Row],[CANTIDAD]]</f>
        <v>10.5</v>
      </c>
      <c r="E348">
        <v>5</v>
      </c>
      <c r="F348">
        <v>10</v>
      </c>
      <c r="G348">
        <v>1</v>
      </c>
      <c r="H348">
        <v>1</v>
      </c>
      <c r="I348" t="s">
        <v>1319</v>
      </c>
      <c r="J348" s="72">
        <v>0</v>
      </c>
    </row>
    <row r="349" spans="1:10" x14ac:dyDescent="0.25">
      <c r="A349" t="s">
        <v>961</v>
      </c>
      <c r="B349" s="1" t="s">
        <v>347</v>
      </c>
      <c r="C349">
        <v>0.08</v>
      </c>
      <c r="D349" s="72">
        <f>PRODUCTOS[[#This Row],[V/U VENTA]]*PRODUCTOS[[#This Row],[CANTIDAD]]</f>
        <v>0</v>
      </c>
      <c r="E349">
        <v>5</v>
      </c>
      <c r="F349">
        <v>10</v>
      </c>
      <c r="G349">
        <v>0</v>
      </c>
      <c r="H349">
        <v>1</v>
      </c>
      <c r="I349" t="s">
        <v>1319</v>
      </c>
      <c r="J349" s="72">
        <v>0</v>
      </c>
    </row>
    <row r="350" spans="1:10" x14ac:dyDescent="0.25">
      <c r="A350" t="s">
        <v>962</v>
      </c>
      <c r="B350" s="1" t="s">
        <v>348</v>
      </c>
      <c r="C350">
        <v>0.05</v>
      </c>
      <c r="D350" s="72">
        <f>PRODUCTOS[[#This Row],[V/U VENTA]]*PRODUCTOS[[#This Row],[CANTIDAD]]</f>
        <v>0</v>
      </c>
      <c r="E350">
        <v>5</v>
      </c>
      <c r="F350">
        <v>10</v>
      </c>
      <c r="G350">
        <v>0</v>
      </c>
      <c r="H350">
        <v>1</v>
      </c>
      <c r="I350" t="s">
        <v>1319</v>
      </c>
      <c r="J350" s="72">
        <v>0</v>
      </c>
    </row>
    <row r="351" spans="1:10" x14ac:dyDescent="0.25">
      <c r="A351" t="s">
        <v>963</v>
      </c>
      <c r="B351" s="1" t="s">
        <v>1455</v>
      </c>
      <c r="C351">
        <v>0.06</v>
      </c>
      <c r="D351" s="72">
        <f>PRODUCTOS[[#This Row],[V/U VENTA]]*PRODUCTOS[[#This Row],[CANTIDAD]]</f>
        <v>0</v>
      </c>
      <c r="E351">
        <v>5</v>
      </c>
      <c r="F351">
        <v>10</v>
      </c>
      <c r="G351">
        <v>0</v>
      </c>
      <c r="H351">
        <v>1</v>
      </c>
      <c r="I351" t="s">
        <v>1319</v>
      </c>
      <c r="J351" s="72">
        <v>0</v>
      </c>
    </row>
    <row r="352" spans="1:10" x14ac:dyDescent="0.25">
      <c r="A352" t="s">
        <v>964</v>
      </c>
      <c r="B352" s="1" t="s">
        <v>349</v>
      </c>
      <c r="C352">
        <v>0.08</v>
      </c>
      <c r="D352" s="72">
        <f>PRODUCTOS[[#This Row],[V/U VENTA]]*PRODUCTOS[[#This Row],[CANTIDAD]]</f>
        <v>2</v>
      </c>
      <c r="E352">
        <v>5</v>
      </c>
      <c r="F352">
        <v>10</v>
      </c>
      <c r="G352">
        <v>25</v>
      </c>
      <c r="H352">
        <v>1</v>
      </c>
      <c r="I352" t="s">
        <v>1319</v>
      </c>
      <c r="J352" s="72">
        <v>0</v>
      </c>
    </row>
    <row r="353" spans="1:10" x14ac:dyDescent="0.25">
      <c r="A353" t="s">
        <v>965</v>
      </c>
      <c r="B353" s="1" t="s">
        <v>1456</v>
      </c>
      <c r="C353">
        <v>4.5</v>
      </c>
      <c r="D353" s="72">
        <f>PRODUCTOS[[#This Row],[V/U VENTA]]*PRODUCTOS[[#This Row],[CANTIDAD]]</f>
        <v>4.5</v>
      </c>
      <c r="E353">
        <v>5</v>
      </c>
      <c r="F353">
        <v>10</v>
      </c>
      <c r="G353">
        <v>1</v>
      </c>
      <c r="H353">
        <v>1</v>
      </c>
      <c r="I353" t="s">
        <v>1319</v>
      </c>
      <c r="J353" s="72">
        <v>0</v>
      </c>
    </row>
    <row r="354" spans="1:10" x14ac:dyDescent="0.25">
      <c r="A354" t="s">
        <v>966</v>
      </c>
      <c r="B354" s="1" t="s">
        <v>350</v>
      </c>
      <c r="C354">
        <v>7.5</v>
      </c>
      <c r="D354" s="72">
        <f>PRODUCTOS[[#This Row],[V/U VENTA]]*PRODUCTOS[[#This Row],[CANTIDAD]]</f>
        <v>7.5</v>
      </c>
      <c r="E354">
        <v>5</v>
      </c>
      <c r="F354">
        <v>10</v>
      </c>
      <c r="G354">
        <v>1</v>
      </c>
      <c r="H354">
        <v>1</v>
      </c>
      <c r="I354" t="s">
        <v>1320</v>
      </c>
      <c r="J354" s="72">
        <v>0</v>
      </c>
    </row>
    <row r="355" spans="1:10" x14ac:dyDescent="0.25">
      <c r="A355" t="s">
        <v>967</v>
      </c>
      <c r="B355" s="1" t="s">
        <v>406</v>
      </c>
      <c r="C355">
        <v>3</v>
      </c>
      <c r="D355" s="72">
        <f>PRODUCTOS[[#This Row],[V/U VENTA]]*PRODUCTOS[[#This Row],[CANTIDAD]]</f>
        <v>21</v>
      </c>
      <c r="E355">
        <v>5</v>
      </c>
      <c r="F355">
        <v>10</v>
      </c>
      <c r="G355">
        <v>7</v>
      </c>
      <c r="H355">
        <v>1</v>
      </c>
      <c r="I355" t="s">
        <v>1319</v>
      </c>
      <c r="J355" s="72">
        <v>0</v>
      </c>
    </row>
    <row r="356" spans="1:10" x14ac:dyDescent="0.25">
      <c r="A356" t="s">
        <v>968</v>
      </c>
      <c r="B356" s="1" t="s">
        <v>197</v>
      </c>
      <c r="C356">
        <v>18.579999999999998</v>
      </c>
      <c r="D356" s="72">
        <f>PRODUCTOS[[#This Row],[V/U VENTA]]*PRODUCTOS[[#This Row],[CANTIDAD]]</f>
        <v>0</v>
      </c>
      <c r="E356">
        <v>5</v>
      </c>
      <c r="F356">
        <v>10</v>
      </c>
      <c r="G356">
        <v>0</v>
      </c>
      <c r="H356">
        <v>1</v>
      </c>
      <c r="I356" t="s">
        <v>1319</v>
      </c>
      <c r="J356" s="72">
        <v>0</v>
      </c>
    </row>
    <row r="357" spans="1:10" x14ac:dyDescent="0.25">
      <c r="A357" t="s">
        <v>969</v>
      </c>
      <c r="B357" s="1" t="s">
        <v>196</v>
      </c>
      <c r="C357">
        <v>2.35</v>
      </c>
      <c r="D357" s="72">
        <f>PRODUCTOS[[#This Row],[V/U VENTA]]*PRODUCTOS[[#This Row],[CANTIDAD]]</f>
        <v>0</v>
      </c>
      <c r="E357">
        <v>5</v>
      </c>
      <c r="F357">
        <v>10</v>
      </c>
      <c r="G357">
        <v>0</v>
      </c>
      <c r="H357">
        <v>1</v>
      </c>
      <c r="I357" t="s">
        <v>1319</v>
      </c>
      <c r="J357" s="72">
        <v>0</v>
      </c>
    </row>
    <row r="358" spans="1:10" x14ac:dyDescent="0.25">
      <c r="A358" t="s">
        <v>970</v>
      </c>
      <c r="B358" s="1" t="s">
        <v>1457</v>
      </c>
      <c r="C358">
        <v>11.5</v>
      </c>
      <c r="D358" s="72">
        <f>PRODUCTOS[[#This Row],[V/U VENTA]]*PRODUCTOS[[#This Row],[CANTIDAD]]</f>
        <v>11.5</v>
      </c>
      <c r="E358">
        <v>5</v>
      </c>
      <c r="F358">
        <v>10</v>
      </c>
      <c r="G358">
        <v>1</v>
      </c>
      <c r="H358">
        <v>1</v>
      </c>
      <c r="I358" t="s">
        <v>1320</v>
      </c>
      <c r="J358" s="72">
        <v>0</v>
      </c>
    </row>
    <row r="359" spans="1:10" x14ac:dyDescent="0.25">
      <c r="A359" t="s">
        <v>971</v>
      </c>
      <c r="B359" s="1" t="s">
        <v>22</v>
      </c>
      <c r="C359">
        <v>0.25</v>
      </c>
      <c r="D359" s="72">
        <f>PRODUCTOS[[#This Row],[V/U VENTA]]*PRODUCTOS[[#This Row],[CANTIDAD]]</f>
        <v>0</v>
      </c>
      <c r="E359">
        <v>5</v>
      </c>
      <c r="F359">
        <v>10</v>
      </c>
      <c r="G359">
        <v>0</v>
      </c>
      <c r="H359">
        <v>1</v>
      </c>
      <c r="I359" t="s">
        <v>1319</v>
      </c>
      <c r="J359" s="72">
        <v>0</v>
      </c>
    </row>
    <row r="360" spans="1:10" x14ac:dyDescent="0.25">
      <c r="A360" t="s">
        <v>972</v>
      </c>
      <c r="B360" s="1" t="s">
        <v>26</v>
      </c>
      <c r="C360">
        <v>0.4</v>
      </c>
      <c r="D360" s="72">
        <f>PRODUCTOS[[#This Row],[V/U VENTA]]*PRODUCTOS[[#This Row],[CANTIDAD]]</f>
        <v>6.8000000000000007</v>
      </c>
      <c r="E360">
        <v>5</v>
      </c>
      <c r="F360">
        <v>10</v>
      </c>
      <c r="G360">
        <v>17</v>
      </c>
      <c r="H360">
        <v>1</v>
      </c>
      <c r="I360" t="s">
        <v>1319</v>
      </c>
      <c r="J360" s="72">
        <v>0</v>
      </c>
    </row>
    <row r="361" spans="1:10" x14ac:dyDescent="0.25">
      <c r="A361" t="s">
        <v>973</v>
      </c>
      <c r="B361" s="1" t="s">
        <v>24</v>
      </c>
      <c r="C361">
        <v>0.25</v>
      </c>
      <c r="D361" s="72">
        <f>PRODUCTOS[[#This Row],[V/U VENTA]]*PRODUCTOS[[#This Row],[CANTIDAD]]</f>
        <v>0.5</v>
      </c>
      <c r="E361">
        <v>5</v>
      </c>
      <c r="F361">
        <v>10</v>
      </c>
      <c r="G361">
        <v>2</v>
      </c>
      <c r="H361">
        <v>1</v>
      </c>
      <c r="I361" t="s">
        <v>1319</v>
      </c>
      <c r="J361" s="72">
        <v>0</v>
      </c>
    </row>
    <row r="362" spans="1:10" x14ac:dyDescent="0.25">
      <c r="A362" t="s">
        <v>974</v>
      </c>
      <c r="B362" s="1" t="s">
        <v>25</v>
      </c>
      <c r="C362">
        <v>0.3</v>
      </c>
      <c r="D362" s="72">
        <f>PRODUCTOS[[#This Row],[V/U VENTA]]*PRODUCTOS[[#This Row],[CANTIDAD]]</f>
        <v>40.799999999999997</v>
      </c>
      <c r="E362">
        <v>5</v>
      </c>
      <c r="F362">
        <v>10</v>
      </c>
      <c r="G362">
        <v>136</v>
      </c>
      <c r="H362">
        <v>1</v>
      </c>
      <c r="I362" t="s">
        <v>1319</v>
      </c>
      <c r="J362" s="72">
        <v>0</v>
      </c>
    </row>
    <row r="363" spans="1:10" x14ac:dyDescent="0.25">
      <c r="A363" t="s">
        <v>975</v>
      </c>
      <c r="B363" s="1" t="s">
        <v>256</v>
      </c>
      <c r="C363">
        <v>0.4</v>
      </c>
      <c r="D363" s="72">
        <f>PRODUCTOS[[#This Row],[V/U VENTA]]*PRODUCTOS[[#This Row],[CANTIDAD]]</f>
        <v>0</v>
      </c>
      <c r="E363">
        <v>5</v>
      </c>
      <c r="F363">
        <v>10</v>
      </c>
      <c r="G363">
        <v>0</v>
      </c>
      <c r="H363">
        <v>1</v>
      </c>
      <c r="I363" t="s">
        <v>1319</v>
      </c>
      <c r="J363" s="72">
        <v>0</v>
      </c>
    </row>
    <row r="364" spans="1:10" x14ac:dyDescent="0.25">
      <c r="A364" t="s">
        <v>976</v>
      </c>
      <c r="B364" s="1" t="s">
        <v>1458</v>
      </c>
      <c r="C364">
        <v>0.5</v>
      </c>
      <c r="D364" s="72">
        <f>PRODUCTOS[[#This Row],[V/U VENTA]]*PRODUCTOS[[#This Row],[CANTIDAD]]</f>
        <v>25.5</v>
      </c>
      <c r="E364">
        <v>5</v>
      </c>
      <c r="F364">
        <v>10</v>
      </c>
      <c r="G364">
        <v>51</v>
      </c>
      <c r="H364">
        <v>1</v>
      </c>
      <c r="I364" t="s">
        <v>1319</v>
      </c>
      <c r="J364" s="72">
        <v>0</v>
      </c>
    </row>
    <row r="365" spans="1:10" x14ac:dyDescent="0.25">
      <c r="A365" t="s">
        <v>977</v>
      </c>
      <c r="B365" s="1" t="s">
        <v>357</v>
      </c>
      <c r="C365">
        <v>0.2</v>
      </c>
      <c r="D365" s="72">
        <f>PRODUCTOS[[#This Row],[V/U VENTA]]*PRODUCTOS[[#This Row],[CANTIDAD]]</f>
        <v>6</v>
      </c>
      <c r="E365">
        <v>5</v>
      </c>
      <c r="F365">
        <v>10</v>
      </c>
      <c r="G365">
        <v>30</v>
      </c>
      <c r="H365">
        <v>1</v>
      </c>
      <c r="I365" t="s">
        <v>1319</v>
      </c>
      <c r="J365" s="72">
        <v>0</v>
      </c>
    </row>
    <row r="366" spans="1:10" x14ac:dyDescent="0.25">
      <c r="A366" t="s">
        <v>978</v>
      </c>
      <c r="B366" s="1" t="s">
        <v>587</v>
      </c>
      <c r="C366">
        <v>2.7</v>
      </c>
      <c r="D366" s="72">
        <f>PRODUCTOS[[#This Row],[V/U VENTA]]*PRODUCTOS[[#This Row],[CANTIDAD]]</f>
        <v>0</v>
      </c>
      <c r="E366">
        <v>5</v>
      </c>
      <c r="F366">
        <v>10</v>
      </c>
      <c r="G366">
        <v>0</v>
      </c>
      <c r="H366">
        <v>1</v>
      </c>
      <c r="I366" t="s">
        <v>1319</v>
      </c>
      <c r="J366" s="72">
        <v>0</v>
      </c>
    </row>
    <row r="367" spans="1:10" x14ac:dyDescent="0.25">
      <c r="A367" t="s">
        <v>979</v>
      </c>
      <c r="B367" s="1" t="s">
        <v>519</v>
      </c>
      <c r="C367">
        <v>5.19</v>
      </c>
      <c r="D367" s="72">
        <f>PRODUCTOS[[#This Row],[V/U VENTA]]*PRODUCTOS[[#This Row],[CANTIDAD]]</f>
        <v>0</v>
      </c>
      <c r="E367">
        <v>5</v>
      </c>
      <c r="F367">
        <v>10</v>
      </c>
      <c r="G367">
        <v>0</v>
      </c>
      <c r="H367">
        <v>1</v>
      </c>
      <c r="I367" t="s">
        <v>1319</v>
      </c>
      <c r="J367" s="72">
        <v>0</v>
      </c>
    </row>
    <row r="368" spans="1:10" x14ac:dyDescent="0.25">
      <c r="A368" t="s">
        <v>980</v>
      </c>
      <c r="B368" s="1" t="s">
        <v>1459</v>
      </c>
      <c r="C368">
        <v>5</v>
      </c>
      <c r="D368" s="72">
        <f>PRODUCTOS[[#This Row],[V/U VENTA]]*PRODUCTOS[[#This Row],[CANTIDAD]]</f>
        <v>0</v>
      </c>
      <c r="E368">
        <v>5</v>
      </c>
      <c r="F368">
        <v>10</v>
      </c>
      <c r="G368">
        <v>0</v>
      </c>
      <c r="H368">
        <v>1</v>
      </c>
      <c r="I368" t="s">
        <v>1319</v>
      </c>
      <c r="J368" s="72">
        <v>0</v>
      </c>
    </row>
    <row r="369" spans="1:10" x14ac:dyDescent="0.25">
      <c r="A369" t="s">
        <v>981</v>
      </c>
      <c r="B369" s="1" t="s">
        <v>23</v>
      </c>
      <c r="C369">
        <v>0.36</v>
      </c>
      <c r="D369" s="72">
        <f>PRODUCTOS[[#This Row],[V/U VENTA]]*PRODUCTOS[[#This Row],[CANTIDAD]]</f>
        <v>0.72</v>
      </c>
      <c r="E369">
        <v>5</v>
      </c>
      <c r="F369">
        <v>10</v>
      </c>
      <c r="G369">
        <v>2</v>
      </c>
      <c r="H369">
        <v>1</v>
      </c>
      <c r="I369" t="s">
        <v>1319</v>
      </c>
      <c r="J369" s="72">
        <v>0</v>
      </c>
    </row>
    <row r="370" spans="1:10" x14ac:dyDescent="0.25">
      <c r="A370" t="s">
        <v>982</v>
      </c>
      <c r="B370" s="1" t="s">
        <v>1782</v>
      </c>
      <c r="C370">
        <v>1.82</v>
      </c>
      <c r="D370" s="72">
        <f>PRODUCTOS[[#This Row],[V/U VENTA]]*PRODUCTOS[[#This Row],[CANTIDAD]]</f>
        <v>0</v>
      </c>
      <c r="E370">
        <v>5</v>
      </c>
      <c r="F370">
        <v>10</v>
      </c>
      <c r="G370">
        <v>0</v>
      </c>
      <c r="H370">
        <v>1</v>
      </c>
      <c r="I370" t="s">
        <v>1319</v>
      </c>
      <c r="J370" s="72">
        <v>0</v>
      </c>
    </row>
    <row r="371" spans="1:10" x14ac:dyDescent="0.25">
      <c r="A371" t="s">
        <v>983</v>
      </c>
      <c r="B371" s="1" t="s">
        <v>298</v>
      </c>
      <c r="C371">
        <v>1.78</v>
      </c>
      <c r="D371" s="72">
        <f>PRODUCTOS[[#This Row],[V/U VENTA]]*PRODUCTOS[[#This Row],[CANTIDAD]]</f>
        <v>0</v>
      </c>
      <c r="E371">
        <v>5</v>
      </c>
      <c r="F371">
        <v>10</v>
      </c>
      <c r="G371">
        <v>0</v>
      </c>
      <c r="H371">
        <v>1</v>
      </c>
      <c r="I371" t="s">
        <v>1320</v>
      </c>
      <c r="J371" s="72">
        <v>0</v>
      </c>
    </row>
    <row r="372" spans="1:10" x14ac:dyDescent="0.25">
      <c r="A372" t="s">
        <v>984</v>
      </c>
      <c r="B372" s="1" t="s">
        <v>299</v>
      </c>
      <c r="C372">
        <v>1.79</v>
      </c>
      <c r="D372" s="72">
        <f>PRODUCTOS[[#This Row],[V/U VENTA]]*PRODUCTOS[[#This Row],[CANTIDAD]]</f>
        <v>0</v>
      </c>
      <c r="E372">
        <v>5</v>
      </c>
      <c r="F372">
        <v>10</v>
      </c>
      <c r="G372">
        <v>0</v>
      </c>
      <c r="H372">
        <v>1</v>
      </c>
      <c r="I372" t="s">
        <v>1319</v>
      </c>
      <c r="J372" s="72">
        <v>0</v>
      </c>
    </row>
    <row r="373" spans="1:10" x14ac:dyDescent="0.25">
      <c r="A373" t="s">
        <v>985</v>
      </c>
      <c r="B373" s="1" t="s">
        <v>1460</v>
      </c>
      <c r="C373">
        <v>1.25</v>
      </c>
      <c r="D373" s="72">
        <f>PRODUCTOS[[#This Row],[V/U VENTA]]*PRODUCTOS[[#This Row],[CANTIDAD]]</f>
        <v>15</v>
      </c>
      <c r="E373">
        <v>5</v>
      </c>
      <c r="F373">
        <v>10</v>
      </c>
      <c r="G373">
        <v>12</v>
      </c>
      <c r="H373">
        <v>1</v>
      </c>
      <c r="I373" t="s">
        <v>1319</v>
      </c>
      <c r="J373" s="72">
        <v>0</v>
      </c>
    </row>
    <row r="374" spans="1:10" x14ac:dyDescent="0.25">
      <c r="A374" t="s">
        <v>986</v>
      </c>
      <c r="B374" s="1" t="s">
        <v>1461</v>
      </c>
      <c r="C374">
        <v>1.5</v>
      </c>
      <c r="D374" s="72">
        <f>PRODUCTOS[[#This Row],[V/U VENTA]]*PRODUCTOS[[#This Row],[CANTIDAD]]</f>
        <v>9</v>
      </c>
      <c r="E374">
        <v>5</v>
      </c>
      <c r="F374">
        <v>10</v>
      </c>
      <c r="G374">
        <v>6</v>
      </c>
      <c r="H374">
        <v>1</v>
      </c>
      <c r="I374" t="s">
        <v>1319</v>
      </c>
      <c r="J374" s="72">
        <v>0</v>
      </c>
    </row>
    <row r="375" spans="1:10" x14ac:dyDescent="0.25">
      <c r="A375" t="s">
        <v>987</v>
      </c>
      <c r="B375" s="1" t="s">
        <v>1462</v>
      </c>
      <c r="C375">
        <v>0.75</v>
      </c>
      <c r="D375" s="72">
        <f>PRODUCTOS[[#This Row],[V/U VENTA]]*PRODUCTOS[[#This Row],[CANTIDAD]]</f>
        <v>18.75</v>
      </c>
      <c r="E375">
        <v>5</v>
      </c>
      <c r="F375">
        <v>10</v>
      </c>
      <c r="G375">
        <v>25</v>
      </c>
      <c r="H375">
        <v>1</v>
      </c>
      <c r="I375" t="s">
        <v>1319</v>
      </c>
      <c r="J375" s="72">
        <v>0</v>
      </c>
    </row>
    <row r="376" spans="1:10" x14ac:dyDescent="0.25">
      <c r="A376" t="s">
        <v>988</v>
      </c>
      <c r="B376" s="1" t="s">
        <v>1463</v>
      </c>
      <c r="C376">
        <v>0.35</v>
      </c>
      <c r="D376" s="72">
        <f>PRODUCTOS[[#This Row],[V/U VENTA]]*PRODUCTOS[[#This Row],[CANTIDAD]]</f>
        <v>9.1</v>
      </c>
      <c r="E376">
        <v>5</v>
      </c>
      <c r="F376">
        <v>10</v>
      </c>
      <c r="G376">
        <v>26</v>
      </c>
      <c r="H376">
        <v>1</v>
      </c>
      <c r="I376" t="s">
        <v>1319</v>
      </c>
      <c r="J376" s="72">
        <v>0</v>
      </c>
    </row>
    <row r="377" spans="1:10" x14ac:dyDescent="0.25">
      <c r="A377" t="s">
        <v>989</v>
      </c>
      <c r="B377" s="1" t="s">
        <v>231</v>
      </c>
      <c r="C377">
        <v>0.5</v>
      </c>
      <c r="D377" s="72">
        <f>PRODUCTOS[[#This Row],[V/U VENTA]]*PRODUCTOS[[#This Row],[CANTIDAD]]</f>
        <v>17</v>
      </c>
      <c r="E377">
        <v>5</v>
      </c>
      <c r="F377">
        <v>10</v>
      </c>
      <c r="G377">
        <v>34</v>
      </c>
      <c r="H377">
        <v>1</v>
      </c>
      <c r="I377" t="s">
        <v>1319</v>
      </c>
      <c r="J377" s="72">
        <v>0</v>
      </c>
    </row>
    <row r="378" spans="1:10" x14ac:dyDescent="0.25">
      <c r="A378" t="s">
        <v>990</v>
      </c>
      <c r="B378" s="1" t="s">
        <v>232</v>
      </c>
      <c r="C378">
        <v>0.57999999999999996</v>
      </c>
      <c r="D378" s="72">
        <f>PRODUCTOS[[#This Row],[V/U VENTA]]*PRODUCTOS[[#This Row],[CANTIDAD]]</f>
        <v>33.059999999999995</v>
      </c>
      <c r="E378">
        <v>5</v>
      </c>
      <c r="F378">
        <v>10</v>
      </c>
      <c r="G378">
        <v>57</v>
      </c>
      <c r="H378">
        <v>1</v>
      </c>
      <c r="I378" t="s">
        <v>1319</v>
      </c>
      <c r="J378" s="72">
        <v>0</v>
      </c>
    </row>
    <row r="379" spans="1:10" x14ac:dyDescent="0.25">
      <c r="A379" t="s">
        <v>991</v>
      </c>
      <c r="B379" s="1" t="s">
        <v>1783</v>
      </c>
      <c r="C379">
        <v>2</v>
      </c>
      <c r="D379" s="72">
        <f>PRODUCTOS[[#This Row],[V/U VENTA]]*PRODUCTOS[[#This Row],[CANTIDAD]]</f>
        <v>6</v>
      </c>
      <c r="E379">
        <v>5</v>
      </c>
      <c r="F379">
        <v>10</v>
      </c>
      <c r="G379">
        <v>3</v>
      </c>
      <c r="H379">
        <v>1</v>
      </c>
      <c r="I379" t="s">
        <v>1319</v>
      </c>
      <c r="J379" s="72">
        <v>0</v>
      </c>
    </row>
    <row r="380" spans="1:10" x14ac:dyDescent="0.25">
      <c r="A380" t="s">
        <v>992</v>
      </c>
      <c r="B380" s="1" t="s">
        <v>230</v>
      </c>
      <c r="C380">
        <v>1.06</v>
      </c>
      <c r="D380" s="72">
        <f>PRODUCTOS[[#This Row],[V/U VENTA]]*PRODUCTOS[[#This Row],[CANTIDAD]]</f>
        <v>14.84</v>
      </c>
      <c r="E380">
        <v>5</v>
      </c>
      <c r="F380">
        <v>10</v>
      </c>
      <c r="G380">
        <v>14</v>
      </c>
      <c r="H380">
        <v>1</v>
      </c>
      <c r="I380" t="s">
        <v>1319</v>
      </c>
      <c r="J380" s="72">
        <v>0</v>
      </c>
    </row>
    <row r="381" spans="1:10" x14ac:dyDescent="0.25">
      <c r="A381" t="s">
        <v>993</v>
      </c>
      <c r="B381" s="1" t="s">
        <v>185</v>
      </c>
      <c r="C381">
        <v>0.25</v>
      </c>
      <c r="D381" s="72">
        <f>PRODUCTOS[[#This Row],[V/U VENTA]]*PRODUCTOS[[#This Row],[CANTIDAD]]</f>
        <v>5</v>
      </c>
      <c r="E381">
        <v>5</v>
      </c>
      <c r="F381">
        <v>10</v>
      </c>
      <c r="G381" s="4">
        <v>20</v>
      </c>
      <c r="H381">
        <v>1</v>
      </c>
      <c r="I381" t="s">
        <v>1319</v>
      </c>
      <c r="J381" s="72">
        <v>0</v>
      </c>
    </row>
    <row r="382" spans="1:10" x14ac:dyDescent="0.25">
      <c r="A382" t="s">
        <v>994</v>
      </c>
      <c r="B382" s="1" t="s">
        <v>255</v>
      </c>
      <c r="C382">
        <v>0.7</v>
      </c>
      <c r="D382" s="72">
        <f>PRODUCTOS[[#This Row],[V/U VENTA]]*PRODUCTOS[[#This Row],[CANTIDAD]]</f>
        <v>10.5</v>
      </c>
      <c r="E382">
        <v>5</v>
      </c>
      <c r="F382">
        <v>10</v>
      </c>
      <c r="G382">
        <v>15</v>
      </c>
      <c r="H382">
        <v>1</v>
      </c>
      <c r="I382" t="s">
        <v>1319</v>
      </c>
      <c r="J382" s="72">
        <v>0</v>
      </c>
    </row>
    <row r="383" spans="1:10" x14ac:dyDescent="0.25">
      <c r="A383" t="s">
        <v>995</v>
      </c>
      <c r="B383" s="1" t="s">
        <v>384</v>
      </c>
      <c r="C383">
        <v>7.17</v>
      </c>
      <c r="D383" s="72">
        <f>PRODUCTOS[[#This Row],[V/U VENTA]]*PRODUCTOS[[#This Row],[CANTIDAD]]</f>
        <v>7.17</v>
      </c>
      <c r="E383">
        <v>5</v>
      </c>
      <c r="F383">
        <v>10</v>
      </c>
      <c r="G383">
        <v>1</v>
      </c>
      <c r="H383">
        <v>1</v>
      </c>
      <c r="I383" t="s">
        <v>1319</v>
      </c>
      <c r="J383" s="72">
        <v>0</v>
      </c>
    </row>
    <row r="384" spans="1:10" x14ac:dyDescent="0.25">
      <c r="A384" t="s">
        <v>996</v>
      </c>
      <c r="B384" s="1" t="s">
        <v>260</v>
      </c>
      <c r="C384">
        <v>0.7</v>
      </c>
      <c r="D384" s="72">
        <f>PRODUCTOS[[#This Row],[V/U VENTA]]*PRODUCTOS[[#This Row],[CANTIDAD]]</f>
        <v>2.8</v>
      </c>
      <c r="E384">
        <v>5</v>
      </c>
      <c r="F384">
        <v>10</v>
      </c>
      <c r="G384">
        <v>4</v>
      </c>
      <c r="H384">
        <v>1</v>
      </c>
      <c r="I384" t="s">
        <v>1319</v>
      </c>
      <c r="J384" s="72">
        <v>0</v>
      </c>
    </row>
    <row r="385" spans="1:10" x14ac:dyDescent="0.25">
      <c r="A385" t="s">
        <v>997</v>
      </c>
      <c r="B385" s="1" t="s">
        <v>392</v>
      </c>
      <c r="C385">
        <v>4.5999999999999996</v>
      </c>
      <c r="D385" s="72">
        <f>PRODUCTOS[[#This Row],[V/U VENTA]]*PRODUCTOS[[#This Row],[CANTIDAD]]</f>
        <v>4.5999999999999996</v>
      </c>
      <c r="E385">
        <v>5</v>
      </c>
      <c r="F385">
        <v>10</v>
      </c>
      <c r="G385">
        <v>1</v>
      </c>
      <c r="H385">
        <v>1</v>
      </c>
      <c r="I385" t="s">
        <v>1319</v>
      </c>
      <c r="J385" s="72">
        <v>0</v>
      </c>
    </row>
    <row r="386" spans="1:10" x14ac:dyDescent="0.25">
      <c r="A386" t="s">
        <v>998</v>
      </c>
      <c r="B386" s="1" t="s">
        <v>567</v>
      </c>
      <c r="C386">
        <v>7.44</v>
      </c>
      <c r="D386" s="72">
        <f>PRODUCTOS[[#This Row],[V/U VENTA]]*PRODUCTOS[[#This Row],[CANTIDAD]]</f>
        <v>14.88</v>
      </c>
      <c r="E386">
        <v>5</v>
      </c>
      <c r="F386">
        <v>10</v>
      </c>
      <c r="G386">
        <v>2</v>
      </c>
      <c r="H386">
        <v>1</v>
      </c>
      <c r="I386" t="s">
        <v>1319</v>
      </c>
      <c r="J386" s="72">
        <v>0</v>
      </c>
    </row>
    <row r="387" spans="1:10" x14ac:dyDescent="0.25">
      <c r="A387" t="s">
        <v>999</v>
      </c>
      <c r="B387" s="1" t="s">
        <v>578</v>
      </c>
      <c r="C387">
        <v>1</v>
      </c>
      <c r="D387" s="72">
        <f>PRODUCTOS[[#This Row],[V/U VENTA]]*PRODUCTOS[[#This Row],[CANTIDAD]]</f>
        <v>2</v>
      </c>
      <c r="E387">
        <v>5</v>
      </c>
      <c r="F387">
        <v>10</v>
      </c>
      <c r="G387">
        <v>2</v>
      </c>
      <c r="H387">
        <v>1</v>
      </c>
      <c r="I387" t="s">
        <v>1319</v>
      </c>
      <c r="J387" s="72">
        <v>0</v>
      </c>
    </row>
    <row r="388" spans="1:10" x14ac:dyDescent="0.25">
      <c r="A388" t="s">
        <v>1000</v>
      </c>
      <c r="B388" s="1" t="s">
        <v>600</v>
      </c>
      <c r="C388">
        <v>4</v>
      </c>
      <c r="D388" s="72">
        <f>PRODUCTOS[[#This Row],[V/U VENTA]]*PRODUCTOS[[#This Row],[CANTIDAD]]</f>
        <v>0</v>
      </c>
      <c r="E388">
        <v>5</v>
      </c>
      <c r="F388">
        <v>10</v>
      </c>
      <c r="G388">
        <v>0</v>
      </c>
      <c r="H388">
        <v>1</v>
      </c>
      <c r="I388" t="s">
        <v>1320</v>
      </c>
      <c r="J388" s="72">
        <v>0</v>
      </c>
    </row>
    <row r="389" spans="1:10" x14ac:dyDescent="0.25">
      <c r="A389" t="s">
        <v>1001</v>
      </c>
      <c r="B389" s="1" t="s">
        <v>439</v>
      </c>
      <c r="C389">
        <v>1.25</v>
      </c>
      <c r="D389" s="72">
        <f>PRODUCTOS[[#This Row],[V/U VENTA]]*PRODUCTOS[[#This Row],[CANTIDAD]]</f>
        <v>1.25</v>
      </c>
      <c r="E389">
        <v>5</v>
      </c>
      <c r="F389">
        <v>10</v>
      </c>
      <c r="G389">
        <v>1</v>
      </c>
      <c r="H389">
        <v>1</v>
      </c>
      <c r="I389" t="s">
        <v>1320</v>
      </c>
      <c r="J389" s="72">
        <v>0</v>
      </c>
    </row>
    <row r="390" spans="1:10" x14ac:dyDescent="0.25">
      <c r="A390" t="s">
        <v>1002</v>
      </c>
      <c r="B390" s="1" t="s">
        <v>1464</v>
      </c>
      <c r="C390">
        <v>3.6</v>
      </c>
      <c r="D390" s="72">
        <f>PRODUCTOS[[#This Row],[V/U VENTA]]*PRODUCTOS[[#This Row],[CANTIDAD]]</f>
        <v>7.2</v>
      </c>
      <c r="E390">
        <v>5</v>
      </c>
      <c r="F390">
        <v>10</v>
      </c>
      <c r="G390">
        <v>2</v>
      </c>
      <c r="H390">
        <v>1</v>
      </c>
      <c r="I390" t="s">
        <v>1319</v>
      </c>
      <c r="J390" s="72">
        <v>0</v>
      </c>
    </row>
    <row r="391" spans="1:10" x14ac:dyDescent="0.25">
      <c r="A391" t="s">
        <v>1003</v>
      </c>
      <c r="B391" s="1" t="s">
        <v>1784</v>
      </c>
      <c r="C391">
        <v>2.04</v>
      </c>
      <c r="D391" s="72">
        <f>PRODUCTOS[[#This Row],[V/U VENTA]]*PRODUCTOS[[#This Row],[CANTIDAD]]</f>
        <v>6.12</v>
      </c>
      <c r="E391">
        <v>5</v>
      </c>
      <c r="F391">
        <v>10</v>
      </c>
      <c r="G391">
        <v>3</v>
      </c>
      <c r="H391">
        <v>1</v>
      </c>
      <c r="I391" t="s">
        <v>1319</v>
      </c>
      <c r="J391" s="72">
        <v>0</v>
      </c>
    </row>
    <row r="392" spans="1:10" x14ac:dyDescent="0.25">
      <c r="A392" t="s">
        <v>1004</v>
      </c>
      <c r="B392" s="1" t="s">
        <v>1465</v>
      </c>
      <c r="C392">
        <v>20</v>
      </c>
      <c r="D392" s="72">
        <f>PRODUCTOS[[#This Row],[V/U VENTA]]*PRODUCTOS[[#This Row],[CANTIDAD]]</f>
        <v>20</v>
      </c>
      <c r="E392">
        <v>5</v>
      </c>
      <c r="F392">
        <v>10</v>
      </c>
      <c r="G392">
        <v>1</v>
      </c>
      <c r="H392">
        <v>1</v>
      </c>
      <c r="I392" t="s">
        <v>1319</v>
      </c>
      <c r="J392" s="72">
        <v>0</v>
      </c>
    </row>
    <row r="393" spans="1:10" x14ac:dyDescent="0.25">
      <c r="A393" t="s">
        <v>1005</v>
      </c>
      <c r="B393" s="1" t="s">
        <v>150</v>
      </c>
      <c r="C393">
        <v>0.1</v>
      </c>
      <c r="D393" s="72">
        <f>PRODUCTOS[[#This Row],[V/U VENTA]]*PRODUCTOS[[#This Row],[CANTIDAD]]</f>
        <v>17.2</v>
      </c>
      <c r="E393">
        <v>5</v>
      </c>
      <c r="F393">
        <v>10</v>
      </c>
      <c r="G393">
        <v>172</v>
      </c>
      <c r="H393">
        <v>1</v>
      </c>
      <c r="I393" t="s">
        <v>1320</v>
      </c>
      <c r="J393" s="72">
        <v>0</v>
      </c>
    </row>
    <row r="394" spans="1:10" x14ac:dyDescent="0.25">
      <c r="A394" t="s">
        <v>1006</v>
      </c>
      <c r="B394" s="1" t="s">
        <v>223</v>
      </c>
      <c r="C394">
        <v>25</v>
      </c>
      <c r="D394" s="72">
        <f>PRODUCTOS[[#This Row],[V/U VENTA]]*PRODUCTOS[[#This Row],[CANTIDAD]]</f>
        <v>25</v>
      </c>
      <c r="E394">
        <v>5</v>
      </c>
      <c r="F394">
        <v>10</v>
      </c>
      <c r="G394">
        <v>1</v>
      </c>
      <c r="H394">
        <v>1</v>
      </c>
      <c r="I394" t="s">
        <v>1320</v>
      </c>
      <c r="J394" s="72">
        <v>0</v>
      </c>
    </row>
    <row r="395" spans="1:10" x14ac:dyDescent="0.25">
      <c r="A395" t="s">
        <v>1007</v>
      </c>
      <c r="B395" s="1" t="s">
        <v>583</v>
      </c>
      <c r="C395">
        <v>6.9</v>
      </c>
      <c r="D395" s="72">
        <f>PRODUCTOS[[#This Row],[V/U VENTA]]*PRODUCTOS[[#This Row],[CANTIDAD]]</f>
        <v>0</v>
      </c>
      <c r="E395">
        <v>5</v>
      </c>
      <c r="F395">
        <v>10</v>
      </c>
      <c r="G395">
        <v>0</v>
      </c>
      <c r="H395">
        <v>1</v>
      </c>
      <c r="I395" t="s">
        <v>1319</v>
      </c>
      <c r="J395" s="72">
        <v>0</v>
      </c>
    </row>
    <row r="396" spans="1:10" x14ac:dyDescent="0.25">
      <c r="A396" t="s">
        <v>1008</v>
      </c>
      <c r="B396" s="1" t="s">
        <v>318</v>
      </c>
      <c r="C396">
        <v>0.4</v>
      </c>
      <c r="D396" s="72">
        <f>PRODUCTOS[[#This Row],[V/U VENTA]]*PRODUCTOS[[#This Row],[CANTIDAD]]</f>
        <v>4.8000000000000007</v>
      </c>
      <c r="E396">
        <v>5</v>
      </c>
      <c r="F396">
        <v>10</v>
      </c>
      <c r="G396">
        <v>12</v>
      </c>
      <c r="H396">
        <v>1</v>
      </c>
      <c r="I396" t="s">
        <v>1319</v>
      </c>
      <c r="J396" s="72">
        <v>0</v>
      </c>
    </row>
    <row r="397" spans="1:10" x14ac:dyDescent="0.25">
      <c r="A397" t="s">
        <v>1009</v>
      </c>
      <c r="B397" s="1" t="s">
        <v>385</v>
      </c>
      <c r="C397">
        <v>9</v>
      </c>
      <c r="D397" s="72">
        <f>PRODUCTOS[[#This Row],[V/U VENTA]]*PRODUCTOS[[#This Row],[CANTIDAD]]</f>
        <v>0</v>
      </c>
      <c r="E397">
        <v>5</v>
      </c>
      <c r="F397">
        <v>10</v>
      </c>
      <c r="G397">
        <v>0</v>
      </c>
      <c r="H397">
        <v>1</v>
      </c>
      <c r="I397" t="s">
        <v>1319</v>
      </c>
      <c r="J397" s="72">
        <v>0</v>
      </c>
    </row>
    <row r="398" spans="1:10" x14ac:dyDescent="0.25">
      <c r="A398" t="s">
        <v>1010</v>
      </c>
      <c r="B398" s="1" t="s">
        <v>530</v>
      </c>
      <c r="C398">
        <v>0.12</v>
      </c>
      <c r="D398" s="72">
        <f>PRODUCTOS[[#This Row],[V/U VENTA]]*PRODUCTOS[[#This Row],[CANTIDAD]]</f>
        <v>18</v>
      </c>
      <c r="E398">
        <v>5</v>
      </c>
      <c r="F398">
        <v>10</v>
      </c>
      <c r="G398">
        <v>150</v>
      </c>
      <c r="H398">
        <v>1</v>
      </c>
      <c r="I398" t="s">
        <v>1319</v>
      </c>
      <c r="J398" s="72">
        <v>0</v>
      </c>
    </row>
    <row r="399" spans="1:10" x14ac:dyDescent="0.25">
      <c r="A399" t="s">
        <v>1011</v>
      </c>
      <c r="B399" s="1" t="s">
        <v>493</v>
      </c>
      <c r="C399">
        <v>1.25</v>
      </c>
      <c r="D399" s="72">
        <f>PRODUCTOS[[#This Row],[V/U VENTA]]*PRODUCTOS[[#This Row],[CANTIDAD]]</f>
        <v>1.25</v>
      </c>
      <c r="E399">
        <v>5</v>
      </c>
      <c r="F399">
        <v>10</v>
      </c>
      <c r="G399">
        <v>1</v>
      </c>
      <c r="H399">
        <v>1</v>
      </c>
      <c r="I399" t="s">
        <v>1319</v>
      </c>
      <c r="J399" s="72">
        <v>0</v>
      </c>
    </row>
    <row r="400" spans="1:10" x14ac:dyDescent="0.25">
      <c r="A400" t="s">
        <v>1012</v>
      </c>
      <c r="B400" s="1" t="s">
        <v>479</v>
      </c>
      <c r="C400">
        <v>66</v>
      </c>
      <c r="D400" s="72">
        <f>PRODUCTOS[[#This Row],[V/U VENTA]]*PRODUCTOS[[#This Row],[CANTIDAD]]</f>
        <v>0</v>
      </c>
      <c r="E400">
        <v>5</v>
      </c>
      <c r="F400">
        <v>10</v>
      </c>
      <c r="G400">
        <v>0</v>
      </c>
      <c r="H400">
        <v>1</v>
      </c>
      <c r="I400" t="s">
        <v>1319</v>
      </c>
      <c r="J400" s="72">
        <v>0</v>
      </c>
    </row>
    <row r="401" spans="1:10" x14ac:dyDescent="0.25">
      <c r="A401" t="s">
        <v>1013</v>
      </c>
      <c r="B401" s="1" t="s">
        <v>482</v>
      </c>
      <c r="C401">
        <v>59.85</v>
      </c>
      <c r="D401" s="72">
        <f>PRODUCTOS[[#This Row],[V/U VENTA]]*PRODUCTOS[[#This Row],[CANTIDAD]]</f>
        <v>119.7</v>
      </c>
      <c r="E401">
        <v>5</v>
      </c>
      <c r="F401">
        <v>10</v>
      </c>
      <c r="G401">
        <v>2</v>
      </c>
      <c r="H401">
        <v>1</v>
      </c>
      <c r="I401" t="s">
        <v>1319</v>
      </c>
      <c r="J401" s="72">
        <v>0</v>
      </c>
    </row>
    <row r="402" spans="1:10" x14ac:dyDescent="0.25">
      <c r="A402" t="s">
        <v>1014</v>
      </c>
      <c r="B402" s="1" t="s">
        <v>1785</v>
      </c>
      <c r="C402">
        <v>4.5</v>
      </c>
      <c r="D402" s="72">
        <f>PRODUCTOS[[#This Row],[V/U VENTA]]*PRODUCTOS[[#This Row],[CANTIDAD]]</f>
        <v>13.5</v>
      </c>
      <c r="E402">
        <v>5</v>
      </c>
      <c r="F402">
        <v>10</v>
      </c>
      <c r="G402">
        <v>3</v>
      </c>
      <c r="H402">
        <v>1</v>
      </c>
      <c r="I402" t="s">
        <v>1319</v>
      </c>
      <c r="J402" s="72">
        <v>0</v>
      </c>
    </row>
    <row r="403" spans="1:10" x14ac:dyDescent="0.25">
      <c r="A403" t="s">
        <v>1015</v>
      </c>
      <c r="B403" s="1" t="s">
        <v>248</v>
      </c>
      <c r="C403">
        <v>0.6</v>
      </c>
      <c r="D403" s="72">
        <f>PRODUCTOS[[#This Row],[V/U VENTA]]*PRODUCTOS[[#This Row],[CANTIDAD]]</f>
        <v>24</v>
      </c>
      <c r="E403">
        <v>5</v>
      </c>
      <c r="F403">
        <v>10</v>
      </c>
      <c r="G403">
        <v>40</v>
      </c>
      <c r="H403">
        <v>1</v>
      </c>
      <c r="I403" t="s">
        <v>1319</v>
      </c>
      <c r="J403" s="72">
        <v>0</v>
      </c>
    </row>
    <row r="404" spans="1:10" x14ac:dyDescent="0.25">
      <c r="A404" t="s">
        <v>1016</v>
      </c>
      <c r="B404" s="1" t="s">
        <v>153</v>
      </c>
      <c r="C404">
        <v>6.2</v>
      </c>
      <c r="D404" s="72">
        <f>PRODUCTOS[[#This Row],[V/U VENTA]]*PRODUCTOS[[#This Row],[CANTIDAD]]</f>
        <v>12.4</v>
      </c>
      <c r="E404">
        <v>5</v>
      </c>
      <c r="F404">
        <v>10</v>
      </c>
      <c r="G404">
        <v>2</v>
      </c>
      <c r="H404">
        <v>1</v>
      </c>
      <c r="I404" t="s">
        <v>1319</v>
      </c>
      <c r="J404" s="72">
        <v>0</v>
      </c>
    </row>
    <row r="405" spans="1:10" x14ac:dyDescent="0.25">
      <c r="A405" t="s">
        <v>1017</v>
      </c>
      <c r="B405" s="1" t="s">
        <v>308</v>
      </c>
      <c r="C405">
        <v>0.6</v>
      </c>
      <c r="D405" s="72">
        <f>PRODUCTOS[[#This Row],[V/U VENTA]]*PRODUCTOS[[#This Row],[CANTIDAD]]</f>
        <v>0</v>
      </c>
      <c r="E405">
        <v>5</v>
      </c>
      <c r="F405">
        <v>10</v>
      </c>
      <c r="G405">
        <v>0</v>
      </c>
      <c r="H405">
        <v>1</v>
      </c>
      <c r="I405" t="s">
        <v>1319</v>
      </c>
      <c r="J405" s="72">
        <v>0</v>
      </c>
    </row>
    <row r="406" spans="1:10" x14ac:dyDescent="0.25">
      <c r="A406" t="s">
        <v>1018</v>
      </c>
      <c r="B406" s="1" t="s">
        <v>574</v>
      </c>
      <c r="C406">
        <v>0.7</v>
      </c>
      <c r="D406" s="72">
        <f>PRODUCTOS[[#This Row],[V/U VENTA]]*PRODUCTOS[[#This Row],[CANTIDAD]]</f>
        <v>5.6</v>
      </c>
      <c r="E406">
        <v>5</v>
      </c>
      <c r="F406">
        <v>10</v>
      </c>
      <c r="G406">
        <v>8</v>
      </c>
      <c r="H406">
        <v>1</v>
      </c>
      <c r="I406" t="s">
        <v>1319</v>
      </c>
      <c r="J406" s="72">
        <v>0</v>
      </c>
    </row>
    <row r="407" spans="1:10" x14ac:dyDescent="0.25">
      <c r="A407" t="s">
        <v>1019</v>
      </c>
      <c r="B407" s="1" t="s">
        <v>1786</v>
      </c>
      <c r="C407">
        <v>2.5</v>
      </c>
      <c r="D407" s="72">
        <f>PRODUCTOS[[#This Row],[V/U VENTA]]*PRODUCTOS[[#This Row],[CANTIDAD]]</f>
        <v>12.5</v>
      </c>
      <c r="E407">
        <v>5</v>
      </c>
      <c r="F407">
        <v>10</v>
      </c>
      <c r="G407">
        <v>5</v>
      </c>
      <c r="H407">
        <v>1</v>
      </c>
      <c r="I407" t="s">
        <v>1319</v>
      </c>
      <c r="J407" s="72">
        <v>0</v>
      </c>
    </row>
    <row r="408" spans="1:10" x14ac:dyDescent="0.25">
      <c r="A408" t="s">
        <v>1020</v>
      </c>
      <c r="B408" s="1" t="s">
        <v>319</v>
      </c>
      <c r="C408">
        <v>0.84</v>
      </c>
      <c r="D408" s="72">
        <f>PRODUCTOS[[#This Row],[V/U VENTA]]*PRODUCTOS[[#This Row],[CANTIDAD]]</f>
        <v>16.8</v>
      </c>
      <c r="E408">
        <v>5</v>
      </c>
      <c r="F408">
        <v>10</v>
      </c>
      <c r="G408">
        <v>20</v>
      </c>
      <c r="H408">
        <v>1</v>
      </c>
      <c r="I408" t="s">
        <v>1319</v>
      </c>
      <c r="J408" s="72">
        <v>0</v>
      </c>
    </row>
    <row r="409" spans="1:10" x14ac:dyDescent="0.25">
      <c r="A409" t="s">
        <v>1021</v>
      </c>
      <c r="B409" s="1" t="s">
        <v>606</v>
      </c>
      <c r="C409">
        <v>6</v>
      </c>
      <c r="D409" s="72">
        <f>PRODUCTOS[[#This Row],[V/U VENTA]]*PRODUCTOS[[#This Row],[CANTIDAD]]</f>
        <v>0</v>
      </c>
      <c r="E409">
        <v>5</v>
      </c>
      <c r="F409">
        <v>10</v>
      </c>
      <c r="G409">
        <v>0</v>
      </c>
      <c r="H409">
        <v>1</v>
      </c>
      <c r="I409" t="s">
        <v>1319</v>
      </c>
      <c r="J409" s="72">
        <v>0</v>
      </c>
    </row>
    <row r="410" spans="1:10" x14ac:dyDescent="0.25">
      <c r="A410" t="s">
        <v>1022</v>
      </c>
      <c r="B410" s="1" t="s">
        <v>1466</v>
      </c>
      <c r="C410">
        <v>7</v>
      </c>
      <c r="D410" s="72">
        <f>PRODUCTOS[[#This Row],[V/U VENTA]]*PRODUCTOS[[#This Row],[CANTIDAD]]</f>
        <v>49</v>
      </c>
      <c r="E410">
        <v>5</v>
      </c>
      <c r="F410">
        <v>10</v>
      </c>
      <c r="G410">
        <v>7</v>
      </c>
      <c r="H410">
        <v>1</v>
      </c>
      <c r="I410" t="s">
        <v>1319</v>
      </c>
      <c r="J410" s="72">
        <v>0</v>
      </c>
    </row>
    <row r="411" spans="1:10" x14ac:dyDescent="0.25">
      <c r="A411" t="s">
        <v>1023</v>
      </c>
      <c r="B411" s="1" t="s">
        <v>1467</v>
      </c>
      <c r="C411">
        <v>1.65</v>
      </c>
      <c r="D411" s="72">
        <f>PRODUCTOS[[#This Row],[V/U VENTA]]*PRODUCTOS[[#This Row],[CANTIDAD]]</f>
        <v>6.6</v>
      </c>
      <c r="E411">
        <v>5</v>
      </c>
      <c r="F411">
        <v>10</v>
      </c>
      <c r="G411">
        <v>4</v>
      </c>
      <c r="H411">
        <v>1</v>
      </c>
      <c r="I411" t="s">
        <v>1319</v>
      </c>
      <c r="J411" s="72">
        <v>0</v>
      </c>
    </row>
    <row r="412" spans="1:10" x14ac:dyDescent="0.25">
      <c r="A412" t="s">
        <v>1024</v>
      </c>
      <c r="B412" s="1" t="s">
        <v>345</v>
      </c>
      <c r="C412">
        <v>0.3</v>
      </c>
      <c r="D412" s="72">
        <f>PRODUCTOS[[#This Row],[V/U VENTA]]*PRODUCTOS[[#This Row],[CANTIDAD]]</f>
        <v>16.8</v>
      </c>
      <c r="E412">
        <v>5</v>
      </c>
      <c r="F412">
        <v>10</v>
      </c>
      <c r="G412">
        <v>56</v>
      </c>
      <c r="H412">
        <v>1</v>
      </c>
      <c r="I412" t="s">
        <v>1319</v>
      </c>
      <c r="J412" s="72">
        <v>0</v>
      </c>
    </row>
    <row r="413" spans="1:10" x14ac:dyDescent="0.25">
      <c r="A413" t="s">
        <v>1025</v>
      </c>
      <c r="B413" s="1" t="s">
        <v>266</v>
      </c>
      <c r="C413">
        <v>23.71</v>
      </c>
      <c r="D413" s="72">
        <f>PRODUCTOS[[#This Row],[V/U VENTA]]*PRODUCTOS[[#This Row],[CANTIDAD]]</f>
        <v>47.42</v>
      </c>
      <c r="E413">
        <v>5</v>
      </c>
      <c r="F413">
        <v>10</v>
      </c>
      <c r="G413">
        <v>2</v>
      </c>
      <c r="H413">
        <v>1</v>
      </c>
      <c r="I413" t="s">
        <v>1319</v>
      </c>
      <c r="J413" s="72">
        <v>0</v>
      </c>
    </row>
    <row r="414" spans="1:10" x14ac:dyDescent="0.25">
      <c r="A414" t="s">
        <v>1026</v>
      </c>
      <c r="B414" s="1" t="s">
        <v>344</v>
      </c>
      <c r="C414">
        <v>0.25</v>
      </c>
      <c r="D414" s="72">
        <f>PRODUCTOS[[#This Row],[V/U VENTA]]*PRODUCTOS[[#This Row],[CANTIDAD]]</f>
        <v>0</v>
      </c>
      <c r="E414">
        <v>5</v>
      </c>
      <c r="F414">
        <v>10</v>
      </c>
      <c r="G414">
        <v>0</v>
      </c>
      <c r="H414">
        <v>1</v>
      </c>
      <c r="I414" t="s">
        <v>1319</v>
      </c>
      <c r="J414" s="72">
        <v>0</v>
      </c>
    </row>
    <row r="415" spans="1:10" x14ac:dyDescent="0.25">
      <c r="A415" t="s">
        <v>1027</v>
      </c>
      <c r="B415" s="1" t="s">
        <v>351</v>
      </c>
      <c r="C415">
        <v>0.8</v>
      </c>
      <c r="D415" s="72">
        <f>PRODUCTOS[[#This Row],[V/U VENTA]]*PRODUCTOS[[#This Row],[CANTIDAD]]</f>
        <v>20.8</v>
      </c>
      <c r="E415">
        <v>5</v>
      </c>
      <c r="F415">
        <v>10</v>
      </c>
      <c r="G415">
        <v>26</v>
      </c>
      <c r="H415">
        <v>1</v>
      </c>
      <c r="I415" t="s">
        <v>1319</v>
      </c>
      <c r="J415" s="72">
        <v>0</v>
      </c>
    </row>
    <row r="416" spans="1:10" x14ac:dyDescent="0.25">
      <c r="A416" t="s">
        <v>1028</v>
      </c>
      <c r="B416" s="1" t="s">
        <v>179</v>
      </c>
      <c r="C416">
        <v>16.739999999999998</v>
      </c>
      <c r="D416" s="72">
        <f>PRODUCTOS[[#This Row],[V/U VENTA]]*PRODUCTOS[[#This Row],[CANTIDAD]]</f>
        <v>0</v>
      </c>
      <c r="E416">
        <v>5</v>
      </c>
      <c r="F416">
        <v>10</v>
      </c>
      <c r="G416">
        <v>0</v>
      </c>
      <c r="H416">
        <v>1</v>
      </c>
      <c r="I416" t="s">
        <v>1319</v>
      </c>
      <c r="J416" s="72">
        <v>0</v>
      </c>
    </row>
    <row r="417" spans="1:10" x14ac:dyDescent="0.25">
      <c r="A417" t="s">
        <v>1029</v>
      </c>
      <c r="B417" s="1" t="s">
        <v>494</v>
      </c>
      <c r="C417">
        <v>0.8</v>
      </c>
      <c r="D417" s="72">
        <f>PRODUCTOS[[#This Row],[V/U VENTA]]*PRODUCTOS[[#This Row],[CANTIDAD]]</f>
        <v>0</v>
      </c>
      <c r="E417">
        <v>5</v>
      </c>
      <c r="F417">
        <v>10</v>
      </c>
      <c r="G417">
        <v>0</v>
      </c>
      <c r="H417">
        <v>1</v>
      </c>
      <c r="I417" t="s">
        <v>1319</v>
      </c>
      <c r="J417" s="72">
        <v>0</v>
      </c>
    </row>
    <row r="418" spans="1:10" x14ac:dyDescent="0.25">
      <c r="A418" t="s">
        <v>1030</v>
      </c>
      <c r="B418" s="1" t="s">
        <v>495</v>
      </c>
      <c r="C418">
        <v>0.8</v>
      </c>
      <c r="D418" s="72">
        <f>PRODUCTOS[[#This Row],[V/U VENTA]]*PRODUCTOS[[#This Row],[CANTIDAD]]</f>
        <v>0</v>
      </c>
      <c r="E418">
        <v>5</v>
      </c>
      <c r="F418">
        <v>10</v>
      </c>
      <c r="G418">
        <v>0</v>
      </c>
      <c r="H418">
        <v>1</v>
      </c>
      <c r="I418" t="s">
        <v>1319</v>
      </c>
      <c r="J418" s="72">
        <v>0</v>
      </c>
    </row>
    <row r="419" spans="1:10" x14ac:dyDescent="0.25">
      <c r="A419" t="s">
        <v>1031</v>
      </c>
      <c r="B419" s="1" t="s">
        <v>496</v>
      </c>
      <c r="C419">
        <v>0.8</v>
      </c>
      <c r="D419" s="72">
        <f>PRODUCTOS[[#This Row],[V/U VENTA]]*PRODUCTOS[[#This Row],[CANTIDAD]]</f>
        <v>0</v>
      </c>
      <c r="E419">
        <v>5</v>
      </c>
      <c r="F419">
        <v>10</v>
      </c>
      <c r="G419">
        <v>0</v>
      </c>
      <c r="H419">
        <v>1</v>
      </c>
      <c r="I419" t="s">
        <v>1319</v>
      </c>
      <c r="J419" s="72">
        <v>0</v>
      </c>
    </row>
    <row r="420" spans="1:10" x14ac:dyDescent="0.25">
      <c r="A420" t="s">
        <v>1032</v>
      </c>
      <c r="B420" s="1" t="s">
        <v>497</v>
      </c>
      <c r="C420">
        <v>0.25</v>
      </c>
      <c r="D420" s="72">
        <f>PRODUCTOS[[#This Row],[V/U VENTA]]*PRODUCTOS[[#This Row],[CANTIDAD]]</f>
        <v>0</v>
      </c>
      <c r="E420">
        <v>5</v>
      </c>
      <c r="F420">
        <v>10</v>
      </c>
      <c r="G420">
        <v>0</v>
      </c>
      <c r="H420">
        <v>1</v>
      </c>
      <c r="I420" t="s">
        <v>1319</v>
      </c>
      <c r="J420" s="72">
        <v>0</v>
      </c>
    </row>
    <row r="421" spans="1:10" x14ac:dyDescent="0.25">
      <c r="A421" t="s">
        <v>1033</v>
      </c>
      <c r="B421" s="1" t="s">
        <v>129</v>
      </c>
      <c r="C421">
        <v>6.15</v>
      </c>
      <c r="D421" s="72">
        <f>PRODUCTOS[[#This Row],[V/U VENTA]]*PRODUCTOS[[#This Row],[CANTIDAD]]</f>
        <v>12.3</v>
      </c>
      <c r="E421">
        <v>5</v>
      </c>
      <c r="F421">
        <v>10</v>
      </c>
      <c r="G421">
        <v>2</v>
      </c>
      <c r="H421">
        <v>1</v>
      </c>
      <c r="I421" t="s">
        <v>1320</v>
      </c>
      <c r="J421" s="72">
        <v>0</v>
      </c>
    </row>
    <row r="422" spans="1:10" x14ac:dyDescent="0.25">
      <c r="A422" t="s">
        <v>1034</v>
      </c>
      <c r="B422" s="1" t="s">
        <v>263</v>
      </c>
      <c r="C422">
        <v>6.6</v>
      </c>
      <c r="D422" s="72">
        <f>PRODUCTOS[[#This Row],[V/U VENTA]]*PRODUCTOS[[#This Row],[CANTIDAD]]</f>
        <v>13.2</v>
      </c>
      <c r="E422">
        <v>5</v>
      </c>
      <c r="F422">
        <v>10</v>
      </c>
      <c r="G422">
        <v>2</v>
      </c>
      <c r="H422">
        <v>1</v>
      </c>
      <c r="I422" t="s">
        <v>1319</v>
      </c>
      <c r="J422" s="72">
        <v>0</v>
      </c>
    </row>
    <row r="423" spans="1:10" x14ac:dyDescent="0.25">
      <c r="A423" t="s">
        <v>1035</v>
      </c>
      <c r="B423" s="1" t="s">
        <v>463</v>
      </c>
      <c r="C423">
        <v>5.25</v>
      </c>
      <c r="D423" s="72">
        <f>PRODUCTOS[[#This Row],[V/U VENTA]]*PRODUCTOS[[#This Row],[CANTIDAD]]</f>
        <v>5.25</v>
      </c>
      <c r="E423">
        <v>5</v>
      </c>
      <c r="F423">
        <v>10</v>
      </c>
      <c r="G423">
        <v>1</v>
      </c>
      <c r="H423">
        <v>1</v>
      </c>
      <c r="I423" t="s">
        <v>1319</v>
      </c>
      <c r="J423" s="72">
        <v>0</v>
      </c>
    </row>
    <row r="424" spans="1:10" x14ac:dyDescent="0.25">
      <c r="A424" t="s">
        <v>1036</v>
      </c>
      <c r="B424" s="1" t="s">
        <v>475</v>
      </c>
      <c r="C424">
        <v>3.25</v>
      </c>
      <c r="D424" s="72">
        <f>PRODUCTOS[[#This Row],[V/U VENTA]]*PRODUCTOS[[#This Row],[CANTIDAD]]</f>
        <v>3.25</v>
      </c>
      <c r="E424">
        <v>5</v>
      </c>
      <c r="F424">
        <v>10</v>
      </c>
      <c r="G424">
        <v>1</v>
      </c>
      <c r="H424">
        <v>1</v>
      </c>
      <c r="I424" t="s">
        <v>1319</v>
      </c>
      <c r="J424" s="72">
        <v>0</v>
      </c>
    </row>
    <row r="425" spans="1:10" x14ac:dyDescent="0.25">
      <c r="A425" t="s">
        <v>1037</v>
      </c>
      <c r="B425" s="1" t="s">
        <v>215</v>
      </c>
      <c r="C425">
        <v>0.4</v>
      </c>
      <c r="D425" s="72">
        <f>PRODUCTOS[[#This Row],[V/U VENTA]]*PRODUCTOS[[#This Row],[CANTIDAD]]</f>
        <v>1.6</v>
      </c>
      <c r="E425">
        <v>5</v>
      </c>
      <c r="F425">
        <v>10</v>
      </c>
      <c r="G425">
        <v>4</v>
      </c>
      <c r="H425">
        <v>1</v>
      </c>
      <c r="I425" t="s">
        <v>1319</v>
      </c>
      <c r="J425" s="72">
        <v>0</v>
      </c>
    </row>
    <row r="426" spans="1:10" x14ac:dyDescent="0.25">
      <c r="A426" t="s">
        <v>1038</v>
      </c>
      <c r="B426" s="1" t="s">
        <v>264</v>
      </c>
      <c r="C426">
        <v>17</v>
      </c>
      <c r="D426" s="72">
        <f>PRODUCTOS[[#This Row],[V/U VENTA]]*PRODUCTOS[[#This Row],[CANTIDAD]]</f>
        <v>17</v>
      </c>
      <c r="E426">
        <v>5</v>
      </c>
      <c r="F426">
        <v>10</v>
      </c>
      <c r="G426">
        <v>1</v>
      </c>
      <c r="H426">
        <v>1</v>
      </c>
      <c r="I426" t="s">
        <v>1319</v>
      </c>
      <c r="J426" s="72">
        <v>0</v>
      </c>
    </row>
    <row r="427" spans="1:10" x14ac:dyDescent="0.25">
      <c r="A427" t="s">
        <v>1039</v>
      </c>
      <c r="B427" s="1" t="s">
        <v>264</v>
      </c>
      <c r="C427">
        <v>3.74</v>
      </c>
      <c r="D427" s="72">
        <f>PRODUCTOS[[#This Row],[V/U VENTA]]*PRODUCTOS[[#This Row],[CANTIDAD]]</f>
        <v>3.74</v>
      </c>
      <c r="E427">
        <v>5</v>
      </c>
      <c r="F427">
        <v>10</v>
      </c>
      <c r="G427">
        <v>1</v>
      </c>
      <c r="H427">
        <v>1</v>
      </c>
      <c r="I427" t="s">
        <v>1319</v>
      </c>
      <c r="J427" s="72">
        <v>0</v>
      </c>
    </row>
    <row r="428" spans="1:10" x14ac:dyDescent="0.25">
      <c r="A428" t="s">
        <v>1040</v>
      </c>
      <c r="B428" s="1" t="s">
        <v>216</v>
      </c>
      <c r="C428">
        <v>0.52</v>
      </c>
      <c r="D428" s="72">
        <f>PRODUCTOS[[#This Row],[V/U VENTA]]*PRODUCTOS[[#This Row],[CANTIDAD]]</f>
        <v>0</v>
      </c>
      <c r="E428">
        <v>5</v>
      </c>
      <c r="F428">
        <v>10</v>
      </c>
      <c r="G428">
        <v>0</v>
      </c>
      <c r="H428">
        <v>1</v>
      </c>
      <c r="I428" t="s">
        <v>1320</v>
      </c>
      <c r="J428" s="72">
        <v>0</v>
      </c>
    </row>
    <row r="429" spans="1:10" x14ac:dyDescent="0.25">
      <c r="A429" t="s">
        <v>1041</v>
      </c>
      <c r="B429" s="1" t="s">
        <v>431</v>
      </c>
      <c r="C429">
        <v>0.8</v>
      </c>
      <c r="D429" s="72">
        <f>PRODUCTOS[[#This Row],[V/U VENTA]]*PRODUCTOS[[#This Row],[CANTIDAD]]</f>
        <v>3.2</v>
      </c>
      <c r="E429">
        <v>5</v>
      </c>
      <c r="F429">
        <v>10</v>
      </c>
      <c r="G429">
        <v>4</v>
      </c>
      <c r="H429">
        <v>1</v>
      </c>
      <c r="I429" t="s">
        <v>1319</v>
      </c>
      <c r="J429" s="72">
        <v>0</v>
      </c>
    </row>
    <row r="430" spans="1:10" x14ac:dyDescent="0.25">
      <c r="A430" t="s">
        <v>1042</v>
      </c>
      <c r="B430" s="1" t="s">
        <v>1468</v>
      </c>
      <c r="C430">
        <v>4</v>
      </c>
      <c r="D430" s="72">
        <f>PRODUCTOS[[#This Row],[V/U VENTA]]*PRODUCTOS[[#This Row],[CANTIDAD]]</f>
        <v>48</v>
      </c>
      <c r="E430">
        <v>5</v>
      </c>
      <c r="F430">
        <v>10</v>
      </c>
      <c r="G430">
        <v>12</v>
      </c>
      <c r="H430">
        <v>1</v>
      </c>
      <c r="I430" t="s">
        <v>1319</v>
      </c>
      <c r="J430" s="72">
        <v>0</v>
      </c>
    </row>
    <row r="431" spans="1:10" x14ac:dyDescent="0.25">
      <c r="A431" t="s">
        <v>1043</v>
      </c>
      <c r="B431" s="1" t="s">
        <v>341</v>
      </c>
      <c r="C431">
        <v>1.1000000000000001</v>
      </c>
      <c r="D431" s="72">
        <f>PRODUCTOS[[#This Row],[V/U VENTA]]*PRODUCTOS[[#This Row],[CANTIDAD]]</f>
        <v>15.400000000000002</v>
      </c>
      <c r="E431">
        <v>5</v>
      </c>
      <c r="F431">
        <v>10</v>
      </c>
      <c r="G431">
        <v>14</v>
      </c>
      <c r="H431">
        <v>1</v>
      </c>
      <c r="I431" t="s">
        <v>1319</v>
      </c>
      <c r="J431" s="72">
        <v>0</v>
      </c>
    </row>
    <row r="432" spans="1:10" x14ac:dyDescent="0.25">
      <c r="A432" t="s">
        <v>1044</v>
      </c>
      <c r="B432" s="1" t="s">
        <v>340</v>
      </c>
      <c r="C432">
        <v>2.0499999999999998</v>
      </c>
      <c r="D432" s="72">
        <f>PRODUCTOS[[#This Row],[V/U VENTA]]*PRODUCTOS[[#This Row],[CANTIDAD]]</f>
        <v>0</v>
      </c>
      <c r="E432">
        <v>5</v>
      </c>
      <c r="F432">
        <v>10</v>
      </c>
      <c r="G432">
        <v>0</v>
      </c>
      <c r="H432">
        <v>1</v>
      </c>
      <c r="I432" t="s">
        <v>1320</v>
      </c>
      <c r="J432" s="72">
        <v>0</v>
      </c>
    </row>
    <row r="433" spans="1:10" x14ac:dyDescent="0.25">
      <c r="A433" t="s">
        <v>1045</v>
      </c>
      <c r="B433" s="1" t="s">
        <v>1469</v>
      </c>
      <c r="C433">
        <v>4</v>
      </c>
      <c r="D433" s="72">
        <f>PRODUCTOS[[#This Row],[V/U VENTA]]*PRODUCTOS[[#This Row],[CANTIDAD]]</f>
        <v>8</v>
      </c>
      <c r="E433">
        <v>5</v>
      </c>
      <c r="F433">
        <v>10</v>
      </c>
      <c r="G433">
        <v>2</v>
      </c>
      <c r="H433">
        <v>1</v>
      </c>
      <c r="I433" t="s">
        <v>1320</v>
      </c>
      <c r="J433" s="72">
        <v>0</v>
      </c>
    </row>
    <row r="434" spans="1:10" x14ac:dyDescent="0.25">
      <c r="A434" t="s">
        <v>1046</v>
      </c>
      <c r="B434" s="1" t="s">
        <v>313</v>
      </c>
      <c r="C434">
        <v>5.17</v>
      </c>
      <c r="D434" s="72">
        <f>PRODUCTOS[[#This Row],[V/U VENTA]]*PRODUCTOS[[#This Row],[CANTIDAD]]</f>
        <v>0</v>
      </c>
      <c r="E434">
        <v>5</v>
      </c>
      <c r="F434">
        <v>10</v>
      </c>
      <c r="G434">
        <v>0</v>
      </c>
      <c r="H434">
        <v>1</v>
      </c>
      <c r="I434" t="s">
        <v>1320</v>
      </c>
      <c r="J434" s="72">
        <v>0</v>
      </c>
    </row>
    <row r="435" spans="1:10" x14ac:dyDescent="0.25">
      <c r="A435" t="s">
        <v>1047</v>
      </c>
      <c r="B435" s="1" t="s">
        <v>20</v>
      </c>
      <c r="C435">
        <v>0.13</v>
      </c>
      <c r="D435" s="72">
        <f>PRODUCTOS[[#This Row],[V/U VENTA]]*PRODUCTOS[[#This Row],[CANTIDAD]]</f>
        <v>39</v>
      </c>
      <c r="E435">
        <v>5</v>
      </c>
      <c r="F435">
        <v>10</v>
      </c>
      <c r="G435">
        <v>300</v>
      </c>
      <c r="H435">
        <v>1</v>
      </c>
      <c r="I435" t="s">
        <v>1319</v>
      </c>
      <c r="J435" s="72">
        <v>0</v>
      </c>
    </row>
    <row r="436" spans="1:10" x14ac:dyDescent="0.25">
      <c r="A436" t="s">
        <v>1048</v>
      </c>
      <c r="B436" s="1" t="s">
        <v>1787</v>
      </c>
      <c r="C436">
        <v>0.16</v>
      </c>
      <c r="D436" s="72">
        <f>PRODUCTOS[[#This Row],[V/U VENTA]]*PRODUCTOS[[#This Row],[CANTIDAD]]</f>
        <v>4.8</v>
      </c>
      <c r="E436">
        <v>5</v>
      </c>
      <c r="F436">
        <v>10</v>
      </c>
      <c r="G436">
        <v>30</v>
      </c>
      <c r="H436">
        <v>1</v>
      </c>
      <c r="I436" t="s">
        <v>1319</v>
      </c>
      <c r="J436" s="72">
        <v>0</v>
      </c>
    </row>
    <row r="437" spans="1:10" x14ac:dyDescent="0.25">
      <c r="A437" t="s">
        <v>1049</v>
      </c>
      <c r="B437" s="1" t="s">
        <v>19</v>
      </c>
      <c r="C437">
        <v>0.17</v>
      </c>
      <c r="D437" s="72">
        <f>PRODUCTOS[[#This Row],[V/U VENTA]]*PRODUCTOS[[#This Row],[CANTIDAD]]</f>
        <v>53.550000000000004</v>
      </c>
      <c r="E437">
        <v>5</v>
      </c>
      <c r="F437">
        <v>10</v>
      </c>
      <c r="G437">
        <v>315</v>
      </c>
      <c r="H437">
        <v>1</v>
      </c>
      <c r="I437" t="s">
        <v>1319</v>
      </c>
      <c r="J437" s="72">
        <v>0</v>
      </c>
    </row>
    <row r="438" spans="1:10" x14ac:dyDescent="0.25">
      <c r="A438" t="s">
        <v>1050</v>
      </c>
      <c r="B438" s="1" t="s">
        <v>613</v>
      </c>
      <c r="C438">
        <v>3.05</v>
      </c>
      <c r="D438" s="72">
        <f>PRODUCTOS[[#This Row],[V/U VENTA]]*PRODUCTOS[[#This Row],[CANTIDAD]]</f>
        <v>15.25</v>
      </c>
      <c r="E438">
        <v>5</v>
      </c>
      <c r="F438">
        <v>10</v>
      </c>
      <c r="G438">
        <v>5</v>
      </c>
      <c r="H438">
        <v>1</v>
      </c>
      <c r="I438" t="s">
        <v>1319</v>
      </c>
      <c r="J438" s="72">
        <v>0</v>
      </c>
    </row>
    <row r="439" spans="1:10" x14ac:dyDescent="0.25">
      <c r="A439" t="s">
        <v>1051</v>
      </c>
      <c r="B439" s="1" t="s">
        <v>18</v>
      </c>
      <c r="C439">
        <v>0.1</v>
      </c>
      <c r="D439" s="72">
        <f>PRODUCTOS[[#This Row],[V/U VENTA]]*PRODUCTOS[[#This Row],[CANTIDAD]]</f>
        <v>34</v>
      </c>
      <c r="E439">
        <v>5</v>
      </c>
      <c r="F439">
        <v>10</v>
      </c>
      <c r="G439">
        <v>340</v>
      </c>
      <c r="H439">
        <v>1</v>
      </c>
      <c r="I439" t="s">
        <v>1319</v>
      </c>
      <c r="J439" s="72">
        <v>0</v>
      </c>
    </row>
    <row r="440" spans="1:10" x14ac:dyDescent="0.25">
      <c r="A440" t="s">
        <v>1052</v>
      </c>
      <c r="B440" s="1" t="s">
        <v>565</v>
      </c>
      <c r="C440">
        <v>0.5</v>
      </c>
      <c r="D440" s="72">
        <f>PRODUCTOS[[#This Row],[V/U VENTA]]*PRODUCTOS[[#This Row],[CANTIDAD]]</f>
        <v>48</v>
      </c>
      <c r="E440">
        <v>5</v>
      </c>
      <c r="F440">
        <v>10</v>
      </c>
      <c r="G440">
        <v>96</v>
      </c>
      <c r="H440">
        <v>1</v>
      </c>
      <c r="I440" t="s">
        <v>1319</v>
      </c>
      <c r="J440" s="72">
        <v>0</v>
      </c>
    </row>
    <row r="441" spans="1:10" x14ac:dyDescent="0.25">
      <c r="A441" t="s">
        <v>1053</v>
      </c>
      <c r="B441" s="1" t="s">
        <v>539</v>
      </c>
      <c r="C441">
        <v>0.6</v>
      </c>
      <c r="D441" s="72">
        <f>PRODUCTOS[[#This Row],[V/U VENTA]]*PRODUCTOS[[#This Row],[CANTIDAD]]</f>
        <v>61.8</v>
      </c>
      <c r="E441">
        <v>5</v>
      </c>
      <c r="F441">
        <v>10</v>
      </c>
      <c r="G441">
        <v>103</v>
      </c>
      <c r="H441">
        <v>1</v>
      </c>
      <c r="I441" t="s">
        <v>1319</v>
      </c>
      <c r="J441" s="72">
        <v>0</v>
      </c>
    </row>
    <row r="442" spans="1:10" x14ac:dyDescent="0.25">
      <c r="A442" t="s">
        <v>1054</v>
      </c>
      <c r="B442" s="1" t="s">
        <v>212</v>
      </c>
      <c r="C442">
        <v>18.3</v>
      </c>
      <c r="D442" s="72">
        <f>PRODUCTOS[[#This Row],[V/U VENTA]]*PRODUCTOS[[#This Row],[CANTIDAD]]</f>
        <v>54.900000000000006</v>
      </c>
      <c r="E442">
        <v>5</v>
      </c>
      <c r="F442">
        <v>10</v>
      </c>
      <c r="G442" s="15">
        <v>3</v>
      </c>
      <c r="H442">
        <v>1</v>
      </c>
      <c r="I442" t="s">
        <v>1319</v>
      </c>
      <c r="J442" s="72">
        <v>0</v>
      </c>
    </row>
    <row r="443" spans="1:10" x14ac:dyDescent="0.25">
      <c r="A443" t="s">
        <v>1055</v>
      </c>
      <c r="B443" s="1" t="s">
        <v>186</v>
      </c>
      <c r="C443">
        <v>0.6</v>
      </c>
      <c r="D443" s="72">
        <f>PRODUCTOS[[#This Row],[V/U VENTA]]*PRODUCTOS[[#This Row],[CANTIDAD]]</f>
        <v>24.599999999999998</v>
      </c>
      <c r="E443">
        <v>5</v>
      </c>
      <c r="F443">
        <v>10</v>
      </c>
      <c r="G443">
        <v>41</v>
      </c>
      <c r="H443">
        <v>1</v>
      </c>
      <c r="I443" t="s">
        <v>1319</v>
      </c>
      <c r="J443" s="72">
        <v>0</v>
      </c>
    </row>
    <row r="444" spans="1:10" x14ac:dyDescent="0.25">
      <c r="A444" t="s">
        <v>1056</v>
      </c>
      <c r="B444" s="1" t="s">
        <v>1788</v>
      </c>
      <c r="C444">
        <v>1.5</v>
      </c>
      <c r="D444" s="72">
        <f>PRODUCTOS[[#This Row],[V/U VENTA]]*PRODUCTOS[[#This Row],[CANTIDAD]]</f>
        <v>4.5</v>
      </c>
      <c r="E444">
        <v>5</v>
      </c>
      <c r="F444">
        <v>10</v>
      </c>
      <c r="G444">
        <v>3</v>
      </c>
      <c r="H444">
        <v>1</v>
      </c>
      <c r="I444" t="s">
        <v>1319</v>
      </c>
      <c r="J444" s="72">
        <v>0</v>
      </c>
    </row>
    <row r="445" spans="1:10" x14ac:dyDescent="0.25">
      <c r="A445" t="s">
        <v>1057</v>
      </c>
      <c r="B445" s="1" t="s">
        <v>1789</v>
      </c>
      <c r="C445">
        <v>3</v>
      </c>
      <c r="D445" s="72">
        <f>PRODUCTOS[[#This Row],[V/U VENTA]]*PRODUCTOS[[#This Row],[CANTIDAD]]</f>
        <v>3</v>
      </c>
      <c r="E445">
        <v>5</v>
      </c>
      <c r="F445">
        <v>10</v>
      </c>
      <c r="G445">
        <v>1</v>
      </c>
      <c r="H445">
        <v>1</v>
      </c>
      <c r="I445" t="s">
        <v>1319</v>
      </c>
      <c r="J445" s="72">
        <v>0</v>
      </c>
    </row>
    <row r="446" spans="1:10" x14ac:dyDescent="0.25">
      <c r="A446" t="s">
        <v>1058</v>
      </c>
      <c r="B446" s="1" t="s">
        <v>609</v>
      </c>
      <c r="C446">
        <v>0.55000000000000004</v>
      </c>
      <c r="D446" s="72">
        <f>PRODUCTOS[[#This Row],[V/U VENTA]]*PRODUCTOS[[#This Row],[CANTIDAD]]</f>
        <v>24.200000000000003</v>
      </c>
      <c r="E446">
        <v>5</v>
      </c>
      <c r="F446">
        <v>10</v>
      </c>
      <c r="G446">
        <v>44</v>
      </c>
      <c r="H446">
        <v>1</v>
      </c>
      <c r="I446" t="s">
        <v>1319</v>
      </c>
      <c r="J446" s="72">
        <v>0</v>
      </c>
    </row>
    <row r="447" spans="1:10" x14ac:dyDescent="0.25">
      <c r="A447" t="s">
        <v>1059</v>
      </c>
      <c r="B447" s="1" t="s">
        <v>461</v>
      </c>
      <c r="C447">
        <v>3</v>
      </c>
      <c r="D447" s="72">
        <f>PRODUCTOS[[#This Row],[V/U VENTA]]*PRODUCTOS[[#This Row],[CANTIDAD]]</f>
        <v>9</v>
      </c>
      <c r="E447">
        <v>5</v>
      </c>
      <c r="F447">
        <v>10</v>
      </c>
      <c r="G447">
        <v>3</v>
      </c>
      <c r="H447">
        <v>1</v>
      </c>
      <c r="I447" t="s">
        <v>1319</v>
      </c>
      <c r="J447" s="72">
        <v>0</v>
      </c>
    </row>
    <row r="448" spans="1:10" x14ac:dyDescent="0.25">
      <c r="A448" t="s">
        <v>1060</v>
      </c>
      <c r="B448" s="1" t="s">
        <v>460</v>
      </c>
      <c r="C448">
        <v>5.89</v>
      </c>
      <c r="D448" s="72">
        <f>PRODUCTOS[[#This Row],[V/U VENTA]]*PRODUCTOS[[#This Row],[CANTIDAD]]</f>
        <v>5.89</v>
      </c>
      <c r="E448">
        <v>5</v>
      </c>
      <c r="F448">
        <v>10</v>
      </c>
      <c r="G448">
        <v>1</v>
      </c>
      <c r="H448">
        <v>1</v>
      </c>
      <c r="I448" t="s">
        <v>1319</v>
      </c>
      <c r="J448" s="72">
        <v>0</v>
      </c>
    </row>
    <row r="449" spans="1:10" x14ac:dyDescent="0.25">
      <c r="A449" t="s">
        <v>1061</v>
      </c>
      <c r="B449" s="1" t="s">
        <v>575</v>
      </c>
      <c r="C449">
        <v>1.58</v>
      </c>
      <c r="D449" s="72">
        <f>PRODUCTOS[[#This Row],[V/U VENTA]]*PRODUCTOS[[#This Row],[CANTIDAD]]</f>
        <v>47.400000000000006</v>
      </c>
      <c r="E449">
        <v>5</v>
      </c>
      <c r="F449">
        <v>10</v>
      </c>
      <c r="G449">
        <v>30</v>
      </c>
      <c r="H449">
        <v>1</v>
      </c>
      <c r="I449" t="s">
        <v>1319</v>
      </c>
      <c r="J449" s="72">
        <v>0</v>
      </c>
    </row>
    <row r="450" spans="1:10" x14ac:dyDescent="0.25">
      <c r="A450" t="s">
        <v>1062</v>
      </c>
      <c r="B450" s="1" t="s">
        <v>1470</v>
      </c>
      <c r="C450">
        <v>3</v>
      </c>
      <c r="D450" s="72">
        <f>PRODUCTOS[[#This Row],[V/U VENTA]]*PRODUCTOS[[#This Row],[CANTIDAD]]</f>
        <v>6</v>
      </c>
      <c r="E450">
        <v>5</v>
      </c>
      <c r="F450">
        <v>10</v>
      </c>
      <c r="G450">
        <v>2</v>
      </c>
      <c r="H450">
        <v>1</v>
      </c>
      <c r="I450" t="s">
        <v>1319</v>
      </c>
      <c r="J450" s="72">
        <v>0</v>
      </c>
    </row>
    <row r="451" spans="1:10" x14ac:dyDescent="0.25">
      <c r="A451" t="s">
        <v>1063</v>
      </c>
      <c r="B451" s="1" t="s">
        <v>1471</v>
      </c>
      <c r="C451">
        <v>2</v>
      </c>
      <c r="D451" s="72">
        <f>PRODUCTOS[[#This Row],[V/U VENTA]]*PRODUCTOS[[#This Row],[CANTIDAD]]</f>
        <v>20</v>
      </c>
      <c r="E451">
        <v>5</v>
      </c>
      <c r="F451">
        <v>10</v>
      </c>
      <c r="G451">
        <v>10</v>
      </c>
      <c r="H451">
        <v>1</v>
      </c>
      <c r="I451" t="s">
        <v>1319</v>
      </c>
      <c r="J451" s="72">
        <v>0</v>
      </c>
    </row>
    <row r="452" spans="1:10" x14ac:dyDescent="0.25">
      <c r="A452" t="s">
        <v>1064</v>
      </c>
      <c r="B452" s="1" t="s">
        <v>487</v>
      </c>
      <c r="C452">
        <v>6.25</v>
      </c>
      <c r="D452" s="72">
        <f>PRODUCTOS[[#This Row],[V/U VENTA]]*PRODUCTOS[[#This Row],[CANTIDAD]]</f>
        <v>0</v>
      </c>
      <c r="E452">
        <v>5</v>
      </c>
      <c r="F452">
        <v>10</v>
      </c>
      <c r="G452">
        <v>0</v>
      </c>
      <c r="H452">
        <v>1</v>
      </c>
      <c r="I452" t="s">
        <v>1319</v>
      </c>
      <c r="J452" s="72">
        <v>0</v>
      </c>
    </row>
    <row r="453" spans="1:10" x14ac:dyDescent="0.25">
      <c r="A453" t="s">
        <v>1065</v>
      </c>
      <c r="B453" s="1" t="s">
        <v>486</v>
      </c>
      <c r="C453">
        <v>7.8</v>
      </c>
      <c r="D453" s="72">
        <f>PRODUCTOS[[#This Row],[V/U VENTA]]*PRODUCTOS[[#This Row],[CANTIDAD]]</f>
        <v>7.8</v>
      </c>
      <c r="E453">
        <v>5</v>
      </c>
      <c r="F453">
        <v>10</v>
      </c>
      <c r="G453">
        <v>1</v>
      </c>
      <c r="H453">
        <v>1</v>
      </c>
      <c r="I453" t="s">
        <v>1319</v>
      </c>
      <c r="J453" s="72">
        <v>0</v>
      </c>
    </row>
    <row r="454" spans="1:10" x14ac:dyDescent="0.25">
      <c r="A454" t="s">
        <v>1066</v>
      </c>
      <c r="B454" s="1" t="s">
        <v>1472</v>
      </c>
      <c r="C454">
        <v>1.25</v>
      </c>
      <c r="D454" s="72">
        <f>PRODUCTOS[[#This Row],[V/U VENTA]]*PRODUCTOS[[#This Row],[CANTIDAD]]</f>
        <v>2.5</v>
      </c>
      <c r="E454">
        <v>5</v>
      </c>
      <c r="F454">
        <v>10</v>
      </c>
      <c r="G454">
        <v>2</v>
      </c>
      <c r="H454">
        <v>1</v>
      </c>
      <c r="I454" t="s">
        <v>1319</v>
      </c>
      <c r="J454" s="72">
        <v>0</v>
      </c>
    </row>
    <row r="455" spans="1:10" x14ac:dyDescent="0.25">
      <c r="A455" t="s">
        <v>1067</v>
      </c>
      <c r="B455" s="1" t="s">
        <v>511</v>
      </c>
      <c r="C455">
        <v>0.15</v>
      </c>
      <c r="D455" s="72">
        <f>PRODUCTOS[[#This Row],[V/U VENTA]]*PRODUCTOS[[#This Row],[CANTIDAD]]</f>
        <v>14.25</v>
      </c>
      <c r="E455">
        <v>5</v>
      </c>
      <c r="F455">
        <v>10</v>
      </c>
      <c r="G455">
        <v>95</v>
      </c>
      <c r="H455">
        <v>1</v>
      </c>
      <c r="I455" t="s">
        <v>1319</v>
      </c>
      <c r="J455" s="72">
        <v>0</v>
      </c>
    </row>
    <row r="456" spans="1:10" x14ac:dyDescent="0.25">
      <c r="A456" t="s">
        <v>1068</v>
      </c>
      <c r="B456" s="1" t="s">
        <v>510</v>
      </c>
      <c r="C456">
        <v>0.2</v>
      </c>
      <c r="D456" s="72">
        <f>PRODUCTOS[[#This Row],[V/U VENTA]]*PRODUCTOS[[#This Row],[CANTIDAD]]</f>
        <v>8</v>
      </c>
      <c r="E456">
        <v>5</v>
      </c>
      <c r="F456">
        <v>10</v>
      </c>
      <c r="G456">
        <v>40</v>
      </c>
      <c r="H456">
        <v>1</v>
      </c>
      <c r="I456" t="s">
        <v>1319</v>
      </c>
      <c r="J456" s="72">
        <v>0</v>
      </c>
    </row>
    <row r="457" spans="1:10" x14ac:dyDescent="0.25">
      <c r="A457" t="s">
        <v>1069</v>
      </c>
      <c r="B457" s="1" t="s">
        <v>507</v>
      </c>
      <c r="C457">
        <v>0.25</v>
      </c>
      <c r="D457" s="72">
        <f>PRODUCTOS[[#This Row],[V/U VENTA]]*PRODUCTOS[[#This Row],[CANTIDAD]]</f>
        <v>2.5</v>
      </c>
      <c r="E457">
        <v>5</v>
      </c>
      <c r="F457">
        <v>10</v>
      </c>
      <c r="G457">
        <v>10</v>
      </c>
      <c r="H457">
        <v>1</v>
      </c>
      <c r="I457" t="s">
        <v>1319</v>
      </c>
      <c r="J457" s="72">
        <v>0</v>
      </c>
    </row>
    <row r="458" spans="1:10" x14ac:dyDescent="0.25">
      <c r="A458" t="s">
        <v>1070</v>
      </c>
      <c r="B458" s="1" t="s">
        <v>509</v>
      </c>
      <c r="C458">
        <v>0.15</v>
      </c>
      <c r="D458" s="72">
        <f>PRODUCTOS[[#This Row],[V/U VENTA]]*PRODUCTOS[[#This Row],[CANTIDAD]]</f>
        <v>30</v>
      </c>
      <c r="E458">
        <v>5</v>
      </c>
      <c r="F458">
        <v>10</v>
      </c>
      <c r="G458">
        <v>200</v>
      </c>
      <c r="H458">
        <v>1</v>
      </c>
      <c r="I458" t="s">
        <v>1319</v>
      </c>
      <c r="J458" s="72">
        <v>0</v>
      </c>
    </row>
    <row r="459" spans="1:10" x14ac:dyDescent="0.25">
      <c r="A459" t="s">
        <v>1071</v>
      </c>
      <c r="B459" s="1" t="s">
        <v>512</v>
      </c>
      <c r="C459">
        <v>0.2</v>
      </c>
      <c r="D459" s="72">
        <f>PRODUCTOS[[#This Row],[V/U VENTA]]*PRODUCTOS[[#This Row],[CANTIDAD]]</f>
        <v>18</v>
      </c>
      <c r="E459">
        <v>5</v>
      </c>
      <c r="F459">
        <v>10</v>
      </c>
      <c r="G459">
        <v>90</v>
      </c>
      <c r="H459">
        <v>1</v>
      </c>
      <c r="I459" t="s">
        <v>1319</v>
      </c>
      <c r="J459" s="72">
        <v>0</v>
      </c>
    </row>
    <row r="460" spans="1:10" x14ac:dyDescent="0.25">
      <c r="A460" t="s">
        <v>1072</v>
      </c>
      <c r="B460" s="1" t="s">
        <v>420</v>
      </c>
      <c r="C460">
        <v>2.8</v>
      </c>
      <c r="D460" s="72">
        <f>PRODUCTOS[[#This Row],[V/U VENTA]]*PRODUCTOS[[#This Row],[CANTIDAD]]</f>
        <v>2.8</v>
      </c>
      <c r="E460">
        <v>5</v>
      </c>
      <c r="F460">
        <v>10</v>
      </c>
      <c r="G460">
        <v>1</v>
      </c>
      <c r="H460">
        <v>1</v>
      </c>
      <c r="I460" t="s">
        <v>1319</v>
      </c>
      <c r="J460" s="72">
        <v>0</v>
      </c>
    </row>
    <row r="461" spans="1:10" x14ac:dyDescent="0.25">
      <c r="A461" t="s">
        <v>1073</v>
      </c>
      <c r="B461" s="1" t="s">
        <v>426</v>
      </c>
      <c r="C461">
        <v>3.5</v>
      </c>
      <c r="D461" s="72">
        <f>PRODUCTOS[[#This Row],[V/U VENTA]]*PRODUCTOS[[#This Row],[CANTIDAD]]</f>
        <v>0</v>
      </c>
      <c r="E461">
        <v>5</v>
      </c>
      <c r="F461">
        <v>10</v>
      </c>
      <c r="G461">
        <v>0</v>
      </c>
      <c r="H461">
        <v>1</v>
      </c>
      <c r="I461" t="s">
        <v>1319</v>
      </c>
      <c r="J461" s="72">
        <v>0</v>
      </c>
    </row>
    <row r="462" spans="1:10" x14ac:dyDescent="0.25">
      <c r="A462" t="s">
        <v>1074</v>
      </c>
      <c r="B462" s="1" t="s">
        <v>427</v>
      </c>
      <c r="C462">
        <v>4.5</v>
      </c>
      <c r="D462" s="72">
        <f>PRODUCTOS[[#This Row],[V/U VENTA]]*PRODUCTOS[[#This Row],[CANTIDAD]]</f>
        <v>0</v>
      </c>
      <c r="E462">
        <v>5</v>
      </c>
      <c r="F462">
        <v>10</v>
      </c>
      <c r="G462">
        <v>0</v>
      </c>
      <c r="H462">
        <v>1</v>
      </c>
      <c r="I462" t="s">
        <v>1319</v>
      </c>
      <c r="J462" s="72">
        <v>0</v>
      </c>
    </row>
    <row r="463" spans="1:10" x14ac:dyDescent="0.25">
      <c r="A463" t="s">
        <v>1075</v>
      </c>
      <c r="B463" s="1" t="s">
        <v>1473</v>
      </c>
      <c r="C463">
        <v>16</v>
      </c>
      <c r="D463" s="72">
        <f>PRODUCTOS[[#This Row],[V/U VENTA]]*PRODUCTOS[[#This Row],[CANTIDAD]]</f>
        <v>16</v>
      </c>
      <c r="E463">
        <v>5</v>
      </c>
      <c r="F463">
        <v>10</v>
      </c>
      <c r="G463">
        <v>1</v>
      </c>
      <c r="H463">
        <v>1</v>
      </c>
      <c r="I463" t="s">
        <v>1319</v>
      </c>
      <c r="J463" s="72">
        <v>0</v>
      </c>
    </row>
    <row r="464" spans="1:10" x14ac:dyDescent="0.25">
      <c r="A464" t="s">
        <v>1076</v>
      </c>
      <c r="B464" s="1" t="s">
        <v>564</v>
      </c>
      <c r="C464">
        <v>1.5</v>
      </c>
      <c r="D464" s="72">
        <f>PRODUCTOS[[#This Row],[V/U VENTA]]*PRODUCTOS[[#This Row],[CANTIDAD]]</f>
        <v>9</v>
      </c>
      <c r="E464">
        <v>5</v>
      </c>
      <c r="F464">
        <v>10</v>
      </c>
      <c r="G464">
        <v>6</v>
      </c>
      <c r="H464">
        <v>1</v>
      </c>
      <c r="I464" t="s">
        <v>1319</v>
      </c>
      <c r="J464" s="72">
        <v>0</v>
      </c>
    </row>
    <row r="465" spans="1:10" x14ac:dyDescent="0.25">
      <c r="A465" t="s">
        <v>1077</v>
      </c>
      <c r="B465" s="1" t="s">
        <v>1474</v>
      </c>
      <c r="C465">
        <v>0.9</v>
      </c>
      <c r="D465" s="72">
        <f>PRODUCTOS[[#This Row],[V/U VENTA]]*PRODUCTOS[[#This Row],[CANTIDAD]]</f>
        <v>18</v>
      </c>
      <c r="E465">
        <v>5</v>
      </c>
      <c r="F465">
        <v>10</v>
      </c>
      <c r="G465">
        <v>20</v>
      </c>
      <c r="H465">
        <v>1</v>
      </c>
      <c r="I465" t="s">
        <v>1319</v>
      </c>
      <c r="J465" s="72">
        <v>0</v>
      </c>
    </row>
    <row r="466" spans="1:10" x14ac:dyDescent="0.25">
      <c r="A466" t="s">
        <v>1078</v>
      </c>
      <c r="B466" s="1" t="s">
        <v>29</v>
      </c>
      <c r="C466">
        <v>2.2000000000000002</v>
      </c>
      <c r="D466" s="72">
        <f>PRODUCTOS[[#This Row],[V/U VENTA]]*PRODUCTOS[[#This Row],[CANTIDAD]]</f>
        <v>28.6</v>
      </c>
      <c r="E466">
        <v>5</v>
      </c>
      <c r="F466">
        <v>10</v>
      </c>
      <c r="G466">
        <v>13</v>
      </c>
      <c r="H466">
        <v>1</v>
      </c>
      <c r="I466" t="s">
        <v>1319</v>
      </c>
      <c r="J466" s="72">
        <v>0</v>
      </c>
    </row>
    <row r="467" spans="1:10" x14ac:dyDescent="0.25">
      <c r="A467" t="s">
        <v>1079</v>
      </c>
      <c r="B467" s="1" t="s">
        <v>423</v>
      </c>
      <c r="C467">
        <v>4</v>
      </c>
      <c r="D467" s="72">
        <f>PRODUCTOS[[#This Row],[V/U VENTA]]*PRODUCTOS[[#This Row],[CANTIDAD]]</f>
        <v>12</v>
      </c>
      <c r="E467">
        <v>5</v>
      </c>
      <c r="F467">
        <v>10</v>
      </c>
      <c r="G467">
        <v>3</v>
      </c>
      <c r="H467">
        <v>1</v>
      </c>
      <c r="I467" t="s">
        <v>1319</v>
      </c>
      <c r="J467" s="72">
        <v>0</v>
      </c>
    </row>
    <row r="468" spans="1:10" x14ac:dyDescent="0.25">
      <c r="A468" t="s">
        <v>1080</v>
      </c>
      <c r="B468" s="1" t="s">
        <v>213</v>
      </c>
      <c r="C468">
        <v>23.4</v>
      </c>
      <c r="D468" s="72">
        <f>PRODUCTOS[[#This Row],[V/U VENTA]]*PRODUCTOS[[#This Row],[CANTIDAD]]</f>
        <v>23.4</v>
      </c>
      <c r="E468">
        <v>5</v>
      </c>
      <c r="F468">
        <v>10</v>
      </c>
      <c r="G468">
        <v>1</v>
      </c>
      <c r="H468">
        <v>1</v>
      </c>
      <c r="I468" t="s">
        <v>1319</v>
      </c>
      <c r="J468" s="72">
        <v>0</v>
      </c>
    </row>
    <row r="469" spans="1:10" x14ac:dyDescent="0.25">
      <c r="A469" t="s">
        <v>1081</v>
      </c>
      <c r="B469" s="1" t="s">
        <v>1475</v>
      </c>
      <c r="C469">
        <v>1</v>
      </c>
      <c r="D469" s="72">
        <f>PRODUCTOS[[#This Row],[V/U VENTA]]*PRODUCTOS[[#This Row],[CANTIDAD]]</f>
        <v>2</v>
      </c>
      <c r="E469">
        <v>5</v>
      </c>
      <c r="F469">
        <v>10</v>
      </c>
      <c r="G469">
        <v>2</v>
      </c>
      <c r="H469">
        <v>1</v>
      </c>
      <c r="I469" t="s">
        <v>1319</v>
      </c>
      <c r="J469" s="72">
        <v>0</v>
      </c>
    </row>
    <row r="470" spans="1:10" x14ac:dyDescent="0.25">
      <c r="A470" t="s">
        <v>1082</v>
      </c>
      <c r="B470" s="1" t="s">
        <v>323</v>
      </c>
      <c r="C470">
        <v>6.89</v>
      </c>
      <c r="D470" s="72">
        <f>PRODUCTOS[[#This Row],[V/U VENTA]]*PRODUCTOS[[#This Row],[CANTIDAD]]</f>
        <v>6.89</v>
      </c>
      <c r="E470">
        <v>5</v>
      </c>
      <c r="F470">
        <v>10</v>
      </c>
      <c r="G470">
        <v>1</v>
      </c>
      <c r="H470">
        <v>1</v>
      </c>
      <c r="I470" t="s">
        <v>1319</v>
      </c>
      <c r="J470" s="72">
        <v>0</v>
      </c>
    </row>
    <row r="471" spans="1:10" x14ac:dyDescent="0.25">
      <c r="A471" t="s">
        <v>1083</v>
      </c>
      <c r="B471" s="1" t="s">
        <v>1476</v>
      </c>
      <c r="C471">
        <v>1.5</v>
      </c>
      <c r="D471" s="72">
        <f>PRODUCTOS[[#This Row],[V/U VENTA]]*PRODUCTOS[[#This Row],[CANTIDAD]]</f>
        <v>3</v>
      </c>
      <c r="E471">
        <v>5</v>
      </c>
      <c r="F471">
        <v>10</v>
      </c>
      <c r="G471">
        <v>2</v>
      </c>
      <c r="H471">
        <v>1</v>
      </c>
      <c r="I471" t="s">
        <v>1319</v>
      </c>
      <c r="J471" s="72">
        <v>0</v>
      </c>
    </row>
    <row r="472" spans="1:10" x14ac:dyDescent="0.25">
      <c r="A472" t="s">
        <v>1084</v>
      </c>
      <c r="B472" s="1" t="s">
        <v>211</v>
      </c>
      <c r="C472">
        <v>0.62</v>
      </c>
      <c r="D472" s="72">
        <f>PRODUCTOS[[#This Row],[V/U VENTA]]*PRODUCTOS[[#This Row],[CANTIDAD]]</f>
        <v>9.92</v>
      </c>
      <c r="E472">
        <v>5</v>
      </c>
      <c r="F472">
        <v>10</v>
      </c>
      <c r="G472">
        <v>16</v>
      </c>
      <c r="H472">
        <v>1</v>
      </c>
      <c r="I472" t="s">
        <v>1319</v>
      </c>
      <c r="J472" s="72">
        <v>0</v>
      </c>
    </row>
    <row r="473" spans="1:10" x14ac:dyDescent="0.25">
      <c r="A473" t="s">
        <v>1085</v>
      </c>
      <c r="B473" s="1" t="s">
        <v>113</v>
      </c>
      <c r="C473">
        <v>0.6</v>
      </c>
      <c r="D473" s="72">
        <f>PRODUCTOS[[#This Row],[V/U VENTA]]*PRODUCTOS[[#This Row],[CANTIDAD]]</f>
        <v>0</v>
      </c>
      <c r="E473">
        <v>5</v>
      </c>
      <c r="F473">
        <v>10</v>
      </c>
      <c r="G473">
        <v>0</v>
      </c>
      <c r="H473">
        <v>1</v>
      </c>
      <c r="I473" t="s">
        <v>1319</v>
      </c>
      <c r="J473" s="72">
        <v>0</v>
      </c>
    </row>
    <row r="474" spans="1:10" x14ac:dyDescent="0.25">
      <c r="A474" t="s">
        <v>1086</v>
      </c>
      <c r="B474" s="1" t="s">
        <v>297</v>
      </c>
      <c r="C474">
        <v>2</v>
      </c>
      <c r="D474" s="72">
        <f>PRODUCTOS[[#This Row],[V/U VENTA]]*PRODUCTOS[[#This Row],[CANTIDAD]]</f>
        <v>0</v>
      </c>
      <c r="E474">
        <v>5</v>
      </c>
      <c r="F474">
        <v>10</v>
      </c>
      <c r="G474">
        <v>0</v>
      </c>
      <c r="H474">
        <v>1</v>
      </c>
      <c r="I474" t="s">
        <v>1319</v>
      </c>
      <c r="J474" s="72">
        <v>0</v>
      </c>
    </row>
    <row r="475" spans="1:10" x14ac:dyDescent="0.25">
      <c r="A475" t="s">
        <v>1087</v>
      </c>
      <c r="B475" s="1" t="s">
        <v>296</v>
      </c>
      <c r="C475">
        <v>1.25</v>
      </c>
      <c r="D475" s="72">
        <f>PRODUCTOS[[#This Row],[V/U VENTA]]*PRODUCTOS[[#This Row],[CANTIDAD]]</f>
        <v>2.5</v>
      </c>
      <c r="E475">
        <v>5</v>
      </c>
      <c r="F475">
        <v>10</v>
      </c>
      <c r="G475">
        <v>2</v>
      </c>
      <c r="H475">
        <v>1</v>
      </c>
      <c r="I475" t="s">
        <v>1319</v>
      </c>
      <c r="J475" s="72">
        <v>0</v>
      </c>
    </row>
    <row r="476" spans="1:10" x14ac:dyDescent="0.25">
      <c r="A476" t="s">
        <v>1088</v>
      </c>
      <c r="B476" s="1" t="s">
        <v>1477</v>
      </c>
      <c r="C476">
        <v>0.7</v>
      </c>
      <c r="D476" s="72">
        <f>PRODUCTOS[[#This Row],[V/U VENTA]]*PRODUCTOS[[#This Row],[CANTIDAD]]</f>
        <v>77</v>
      </c>
      <c r="E476">
        <v>5</v>
      </c>
      <c r="F476">
        <v>10</v>
      </c>
      <c r="G476">
        <v>110</v>
      </c>
      <c r="H476">
        <v>1</v>
      </c>
      <c r="I476" t="s">
        <v>1319</v>
      </c>
      <c r="J476" s="72">
        <v>0</v>
      </c>
    </row>
    <row r="477" spans="1:10" x14ac:dyDescent="0.25">
      <c r="A477" t="s">
        <v>1089</v>
      </c>
      <c r="B477" s="1" t="s">
        <v>576</v>
      </c>
      <c r="C477">
        <v>8.5</v>
      </c>
      <c r="D477" s="72">
        <f>PRODUCTOS[[#This Row],[V/U VENTA]]*PRODUCTOS[[#This Row],[CANTIDAD]]</f>
        <v>25.5</v>
      </c>
      <c r="E477">
        <v>5</v>
      </c>
      <c r="F477">
        <v>10</v>
      </c>
      <c r="G477">
        <v>3</v>
      </c>
      <c r="H477">
        <v>1</v>
      </c>
      <c r="I477" t="s">
        <v>1319</v>
      </c>
      <c r="J477" s="72">
        <v>0</v>
      </c>
    </row>
    <row r="478" spans="1:10" x14ac:dyDescent="0.25">
      <c r="A478" t="s">
        <v>1090</v>
      </c>
      <c r="B478" s="1" t="s">
        <v>305</v>
      </c>
      <c r="C478">
        <v>2.4</v>
      </c>
      <c r="D478" s="72">
        <f>PRODUCTOS[[#This Row],[V/U VENTA]]*PRODUCTOS[[#This Row],[CANTIDAD]]</f>
        <v>0</v>
      </c>
      <c r="E478">
        <v>5</v>
      </c>
      <c r="F478">
        <v>10</v>
      </c>
      <c r="G478">
        <v>0</v>
      </c>
      <c r="H478">
        <v>1</v>
      </c>
      <c r="I478" t="s">
        <v>1319</v>
      </c>
      <c r="J478" s="72">
        <v>0</v>
      </c>
    </row>
    <row r="479" spans="1:10" x14ac:dyDescent="0.25">
      <c r="A479" t="s">
        <v>1091</v>
      </c>
      <c r="B479" s="1" t="s">
        <v>457</v>
      </c>
      <c r="C479">
        <v>8</v>
      </c>
      <c r="D479" s="72">
        <f>PRODUCTOS[[#This Row],[V/U VENTA]]*PRODUCTOS[[#This Row],[CANTIDAD]]</f>
        <v>0</v>
      </c>
      <c r="E479">
        <v>5</v>
      </c>
      <c r="F479">
        <v>10</v>
      </c>
      <c r="G479">
        <v>0</v>
      </c>
      <c r="H479">
        <v>1</v>
      </c>
      <c r="I479" t="s">
        <v>1319</v>
      </c>
      <c r="J479" s="72">
        <v>0</v>
      </c>
    </row>
    <row r="480" spans="1:10" x14ac:dyDescent="0.25">
      <c r="A480" t="s">
        <v>1092</v>
      </c>
      <c r="B480" s="1" t="s">
        <v>1790</v>
      </c>
      <c r="C480">
        <v>2</v>
      </c>
      <c r="D480" s="72">
        <f>PRODUCTOS[[#This Row],[V/U VENTA]]*PRODUCTOS[[#This Row],[CANTIDAD]]</f>
        <v>4</v>
      </c>
      <c r="E480">
        <v>5</v>
      </c>
      <c r="F480">
        <v>10</v>
      </c>
      <c r="G480">
        <v>2</v>
      </c>
      <c r="H480">
        <v>1</v>
      </c>
      <c r="I480" t="s">
        <v>1320</v>
      </c>
      <c r="J480" s="72">
        <v>0</v>
      </c>
    </row>
    <row r="481" spans="1:10" x14ac:dyDescent="0.25">
      <c r="A481" t="s">
        <v>1093</v>
      </c>
      <c r="B481" s="1" t="s">
        <v>1791</v>
      </c>
      <c r="C481">
        <v>1.3</v>
      </c>
      <c r="D481" s="72">
        <f>PRODUCTOS[[#This Row],[V/U VENTA]]*PRODUCTOS[[#This Row],[CANTIDAD]]</f>
        <v>2.6</v>
      </c>
      <c r="E481">
        <v>5</v>
      </c>
      <c r="F481">
        <v>10</v>
      </c>
      <c r="G481">
        <v>2</v>
      </c>
      <c r="H481">
        <v>1</v>
      </c>
      <c r="I481" t="s">
        <v>1319</v>
      </c>
      <c r="J481" s="72">
        <v>0</v>
      </c>
    </row>
    <row r="482" spans="1:10" x14ac:dyDescent="0.25">
      <c r="A482" t="s">
        <v>1094</v>
      </c>
      <c r="B482" s="1" t="s">
        <v>247</v>
      </c>
      <c r="C482">
        <v>0.2</v>
      </c>
      <c r="D482" s="72">
        <f>PRODUCTOS[[#This Row],[V/U VENTA]]*PRODUCTOS[[#This Row],[CANTIDAD]]</f>
        <v>21.6</v>
      </c>
      <c r="E482">
        <v>5</v>
      </c>
      <c r="F482">
        <v>10</v>
      </c>
      <c r="G482">
        <v>108</v>
      </c>
      <c r="H482">
        <v>1</v>
      </c>
      <c r="I482" t="s">
        <v>1320</v>
      </c>
      <c r="J482" s="72">
        <v>0</v>
      </c>
    </row>
    <row r="483" spans="1:10" x14ac:dyDescent="0.25">
      <c r="A483" t="s">
        <v>1095</v>
      </c>
      <c r="B483" s="1" t="s">
        <v>246</v>
      </c>
      <c r="C483">
        <v>0.6</v>
      </c>
      <c r="D483" s="72">
        <f>PRODUCTOS[[#This Row],[V/U VENTA]]*PRODUCTOS[[#This Row],[CANTIDAD]]</f>
        <v>19.2</v>
      </c>
      <c r="E483">
        <v>5</v>
      </c>
      <c r="F483">
        <v>10</v>
      </c>
      <c r="G483">
        <v>32</v>
      </c>
      <c r="H483">
        <v>1</v>
      </c>
      <c r="I483" t="s">
        <v>1319</v>
      </c>
      <c r="J483" s="72">
        <v>0</v>
      </c>
    </row>
    <row r="484" spans="1:10" x14ac:dyDescent="0.25">
      <c r="A484" t="s">
        <v>1096</v>
      </c>
      <c r="B484" s="1" t="s">
        <v>27</v>
      </c>
      <c r="C484">
        <v>0.66</v>
      </c>
      <c r="D484" s="72">
        <f>PRODUCTOS[[#This Row],[V/U VENTA]]*PRODUCTOS[[#This Row],[CANTIDAD]]</f>
        <v>3.3000000000000003</v>
      </c>
      <c r="E484">
        <v>5</v>
      </c>
      <c r="F484">
        <v>10</v>
      </c>
      <c r="G484">
        <v>5</v>
      </c>
      <c r="H484">
        <v>1</v>
      </c>
      <c r="I484" t="s">
        <v>1319</v>
      </c>
      <c r="J484" s="72">
        <v>0</v>
      </c>
    </row>
    <row r="485" spans="1:10" x14ac:dyDescent="0.25">
      <c r="A485" t="s">
        <v>1097</v>
      </c>
      <c r="B485" s="1" t="s">
        <v>102</v>
      </c>
      <c r="C485">
        <v>0.49</v>
      </c>
      <c r="D485" s="72">
        <f>PRODUCTOS[[#This Row],[V/U VENTA]]*PRODUCTOS[[#This Row],[CANTIDAD]]</f>
        <v>1.47</v>
      </c>
      <c r="E485">
        <v>5</v>
      </c>
      <c r="F485">
        <v>10</v>
      </c>
      <c r="G485">
        <v>3</v>
      </c>
      <c r="H485">
        <v>1</v>
      </c>
      <c r="I485" t="s">
        <v>1319</v>
      </c>
      <c r="J485" s="72">
        <v>0</v>
      </c>
    </row>
    <row r="486" spans="1:10" x14ac:dyDescent="0.25">
      <c r="A486" t="s">
        <v>1098</v>
      </c>
      <c r="B486" s="1" t="s">
        <v>1478</v>
      </c>
      <c r="C486">
        <v>2</v>
      </c>
      <c r="D486" s="72">
        <f>PRODUCTOS[[#This Row],[V/U VENTA]]*PRODUCTOS[[#This Row],[CANTIDAD]]</f>
        <v>60</v>
      </c>
      <c r="E486">
        <v>5</v>
      </c>
      <c r="F486">
        <v>10</v>
      </c>
      <c r="G486">
        <v>30</v>
      </c>
      <c r="H486">
        <v>1</v>
      </c>
      <c r="I486" t="s">
        <v>1319</v>
      </c>
      <c r="J486" s="72">
        <v>0</v>
      </c>
    </row>
    <row r="487" spans="1:10" x14ac:dyDescent="0.25">
      <c r="A487" t="s">
        <v>1099</v>
      </c>
      <c r="B487" s="1" t="s">
        <v>554</v>
      </c>
      <c r="C487">
        <v>1.5</v>
      </c>
      <c r="D487" s="72">
        <f>PRODUCTOS[[#This Row],[V/U VENTA]]*PRODUCTOS[[#This Row],[CANTIDAD]]</f>
        <v>37.5</v>
      </c>
      <c r="E487">
        <v>5</v>
      </c>
      <c r="F487">
        <v>10</v>
      </c>
      <c r="G487">
        <v>25</v>
      </c>
      <c r="H487">
        <v>1</v>
      </c>
      <c r="I487" t="s">
        <v>1319</v>
      </c>
      <c r="J487" s="72">
        <v>0</v>
      </c>
    </row>
    <row r="488" spans="1:10" x14ac:dyDescent="0.25">
      <c r="A488" t="s">
        <v>1100</v>
      </c>
      <c r="B488" s="1" t="s">
        <v>1479</v>
      </c>
      <c r="C488">
        <v>1.5</v>
      </c>
      <c r="D488" s="72">
        <f>PRODUCTOS[[#This Row],[V/U VENTA]]*PRODUCTOS[[#This Row],[CANTIDAD]]</f>
        <v>22.5</v>
      </c>
      <c r="E488">
        <v>5</v>
      </c>
      <c r="F488">
        <v>10</v>
      </c>
      <c r="G488">
        <v>15</v>
      </c>
      <c r="H488">
        <v>1</v>
      </c>
      <c r="I488" t="s">
        <v>1319</v>
      </c>
      <c r="J488" s="72">
        <v>0</v>
      </c>
    </row>
    <row r="489" spans="1:10" x14ac:dyDescent="0.25">
      <c r="A489" t="s">
        <v>1101</v>
      </c>
      <c r="B489" s="1" t="s">
        <v>443</v>
      </c>
      <c r="C489">
        <v>3</v>
      </c>
      <c r="D489" s="72">
        <f>PRODUCTOS[[#This Row],[V/U VENTA]]*PRODUCTOS[[#This Row],[CANTIDAD]]</f>
        <v>3</v>
      </c>
      <c r="E489">
        <v>5</v>
      </c>
      <c r="F489">
        <v>10</v>
      </c>
      <c r="G489">
        <v>1</v>
      </c>
      <c r="H489">
        <v>1</v>
      </c>
      <c r="I489" t="s">
        <v>1319</v>
      </c>
      <c r="J489" s="72">
        <v>0</v>
      </c>
    </row>
    <row r="490" spans="1:10" x14ac:dyDescent="0.25">
      <c r="A490" t="s">
        <v>1102</v>
      </c>
      <c r="B490" s="1" t="s">
        <v>127</v>
      </c>
      <c r="C490">
        <v>1.28</v>
      </c>
      <c r="D490" s="72">
        <f>PRODUCTOS[[#This Row],[V/U VENTA]]*PRODUCTOS[[#This Row],[CANTIDAD]]</f>
        <v>0</v>
      </c>
      <c r="E490">
        <v>5</v>
      </c>
      <c r="F490">
        <v>10</v>
      </c>
      <c r="G490">
        <v>0</v>
      </c>
      <c r="H490">
        <v>1</v>
      </c>
      <c r="I490" t="s">
        <v>1319</v>
      </c>
      <c r="J490" s="72">
        <v>0</v>
      </c>
    </row>
    <row r="491" spans="1:10" x14ac:dyDescent="0.25">
      <c r="A491" t="s">
        <v>1103</v>
      </c>
      <c r="B491" s="1" t="s">
        <v>128</v>
      </c>
      <c r="C491">
        <v>0.95</v>
      </c>
      <c r="D491" s="72">
        <f>PRODUCTOS[[#This Row],[V/U VENTA]]*PRODUCTOS[[#This Row],[CANTIDAD]]</f>
        <v>1.9</v>
      </c>
      <c r="E491">
        <v>5</v>
      </c>
      <c r="F491">
        <v>10</v>
      </c>
      <c r="G491">
        <v>2</v>
      </c>
      <c r="H491">
        <v>1</v>
      </c>
      <c r="I491" t="s">
        <v>1319</v>
      </c>
      <c r="J491" s="72">
        <v>0</v>
      </c>
    </row>
    <row r="492" spans="1:10" x14ac:dyDescent="0.25">
      <c r="A492" t="s">
        <v>1104</v>
      </c>
      <c r="B492" s="1" t="s">
        <v>520</v>
      </c>
      <c r="C492">
        <v>2.5</v>
      </c>
      <c r="D492" s="72">
        <f>PRODUCTOS[[#This Row],[V/U VENTA]]*PRODUCTOS[[#This Row],[CANTIDAD]]</f>
        <v>0</v>
      </c>
      <c r="E492">
        <v>5</v>
      </c>
      <c r="F492">
        <v>10</v>
      </c>
      <c r="G492">
        <v>0</v>
      </c>
      <c r="H492">
        <v>1</v>
      </c>
      <c r="I492" t="s">
        <v>1319</v>
      </c>
      <c r="J492" s="72">
        <v>0</v>
      </c>
    </row>
    <row r="493" spans="1:10" x14ac:dyDescent="0.25">
      <c r="A493" t="s">
        <v>1105</v>
      </c>
      <c r="B493" s="1" t="s">
        <v>1480</v>
      </c>
      <c r="C493">
        <v>4.5</v>
      </c>
      <c r="D493" s="72">
        <f>PRODUCTOS[[#This Row],[V/U VENTA]]*PRODUCTOS[[#This Row],[CANTIDAD]]</f>
        <v>0</v>
      </c>
      <c r="E493">
        <v>5</v>
      </c>
      <c r="F493">
        <v>10</v>
      </c>
      <c r="G493">
        <v>0</v>
      </c>
      <c r="H493">
        <v>1</v>
      </c>
      <c r="I493" t="s">
        <v>1319</v>
      </c>
      <c r="J493" s="72">
        <v>0</v>
      </c>
    </row>
    <row r="494" spans="1:10" x14ac:dyDescent="0.25">
      <c r="A494" t="s">
        <v>1106</v>
      </c>
      <c r="B494" s="1" t="s">
        <v>1481</v>
      </c>
      <c r="C494">
        <v>4</v>
      </c>
      <c r="D494" s="72">
        <f>PRODUCTOS[[#This Row],[V/U VENTA]]*PRODUCTOS[[#This Row],[CANTIDAD]]</f>
        <v>0</v>
      </c>
      <c r="E494">
        <v>5</v>
      </c>
      <c r="F494">
        <v>10</v>
      </c>
      <c r="G494">
        <v>0</v>
      </c>
      <c r="H494">
        <v>1</v>
      </c>
      <c r="I494" t="s">
        <v>1319</v>
      </c>
      <c r="J494" s="72">
        <v>0</v>
      </c>
    </row>
    <row r="495" spans="1:10" x14ac:dyDescent="0.25">
      <c r="A495" t="s">
        <v>1107</v>
      </c>
      <c r="B495" s="1" t="s">
        <v>466</v>
      </c>
      <c r="C495">
        <v>8</v>
      </c>
      <c r="D495" s="72">
        <f>PRODUCTOS[[#This Row],[V/U VENTA]]*PRODUCTOS[[#This Row],[CANTIDAD]]</f>
        <v>8</v>
      </c>
      <c r="E495">
        <v>5</v>
      </c>
      <c r="F495">
        <v>10</v>
      </c>
      <c r="G495">
        <v>1</v>
      </c>
      <c r="H495">
        <v>1</v>
      </c>
      <c r="I495" t="s">
        <v>1319</v>
      </c>
      <c r="J495" s="72">
        <v>0</v>
      </c>
    </row>
    <row r="496" spans="1:10" x14ac:dyDescent="0.25">
      <c r="A496" t="s">
        <v>1108</v>
      </c>
      <c r="B496" s="1" t="s">
        <v>555</v>
      </c>
      <c r="C496">
        <v>0.14000000000000001</v>
      </c>
      <c r="D496" s="72">
        <f>PRODUCTOS[[#This Row],[V/U VENTA]]*PRODUCTOS[[#This Row],[CANTIDAD]]</f>
        <v>30.800000000000004</v>
      </c>
      <c r="E496">
        <v>5</v>
      </c>
      <c r="F496">
        <v>10</v>
      </c>
      <c r="G496">
        <v>220</v>
      </c>
      <c r="H496">
        <v>1</v>
      </c>
      <c r="I496" t="s">
        <v>1319</v>
      </c>
      <c r="J496" s="72">
        <v>0</v>
      </c>
    </row>
    <row r="497" spans="1:10" x14ac:dyDescent="0.25">
      <c r="A497" t="s">
        <v>1109</v>
      </c>
      <c r="B497" s="1" t="s">
        <v>568</v>
      </c>
      <c r="C497">
        <v>2.1</v>
      </c>
      <c r="D497" s="72">
        <f>PRODUCTOS[[#This Row],[V/U VENTA]]*PRODUCTOS[[#This Row],[CANTIDAD]]</f>
        <v>2.1</v>
      </c>
      <c r="E497">
        <v>5</v>
      </c>
      <c r="F497">
        <v>10</v>
      </c>
      <c r="G497">
        <v>1</v>
      </c>
      <c r="H497">
        <v>1</v>
      </c>
      <c r="I497" t="s">
        <v>1319</v>
      </c>
      <c r="J497" s="72">
        <v>0</v>
      </c>
    </row>
    <row r="498" spans="1:10" x14ac:dyDescent="0.25">
      <c r="A498" t="s">
        <v>1110</v>
      </c>
      <c r="B498" s="1" t="s">
        <v>99</v>
      </c>
      <c r="C498">
        <v>0.14000000000000001</v>
      </c>
      <c r="D498" s="72">
        <f>PRODUCTOS[[#This Row],[V/U VENTA]]*PRODUCTOS[[#This Row],[CANTIDAD]]</f>
        <v>2.8000000000000003</v>
      </c>
      <c r="E498">
        <v>5</v>
      </c>
      <c r="F498">
        <v>10</v>
      </c>
      <c r="G498">
        <v>20</v>
      </c>
      <c r="H498">
        <v>1</v>
      </c>
      <c r="I498" t="s">
        <v>1319</v>
      </c>
      <c r="J498" s="72">
        <v>0</v>
      </c>
    </row>
    <row r="499" spans="1:10" x14ac:dyDescent="0.25">
      <c r="A499" t="s">
        <v>1111</v>
      </c>
      <c r="B499" s="1" t="s">
        <v>1482</v>
      </c>
      <c r="C499">
        <v>0.82</v>
      </c>
      <c r="D499" s="72">
        <f>PRODUCTOS[[#This Row],[V/U VENTA]]*PRODUCTOS[[#This Row],[CANTIDAD]]</f>
        <v>49.199999999999996</v>
      </c>
      <c r="E499">
        <v>5</v>
      </c>
      <c r="F499">
        <v>10</v>
      </c>
      <c r="G499">
        <v>60</v>
      </c>
      <c r="H499">
        <v>1</v>
      </c>
      <c r="I499" t="s">
        <v>1319</v>
      </c>
      <c r="J499" s="72">
        <v>0</v>
      </c>
    </row>
    <row r="500" spans="1:10" x14ac:dyDescent="0.25">
      <c r="A500" t="s">
        <v>1112</v>
      </c>
      <c r="B500" s="1" t="s">
        <v>1792</v>
      </c>
      <c r="C500">
        <v>0.7</v>
      </c>
      <c r="D500" s="72">
        <f>PRODUCTOS[[#This Row],[V/U VENTA]]*PRODUCTOS[[#This Row],[CANTIDAD]]</f>
        <v>189</v>
      </c>
      <c r="E500">
        <v>5</v>
      </c>
      <c r="F500">
        <v>10</v>
      </c>
      <c r="G500">
        <v>270</v>
      </c>
      <c r="H500">
        <v>1</v>
      </c>
      <c r="I500" t="s">
        <v>1319</v>
      </c>
      <c r="J500" s="72">
        <v>0</v>
      </c>
    </row>
    <row r="501" spans="1:10" x14ac:dyDescent="0.25">
      <c r="A501" t="s">
        <v>1113</v>
      </c>
      <c r="B501" s="1" t="s">
        <v>149</v>
      </c>
      <c r="C501">
        <v>0.6</v>
      </c>
      <c r="D501" s="72">
        <f>PRODUCTOS[[#This Row],[V/U VENTA]]*PRODUCTOS[[#This Row],[CANTIDAD]]</f>
        <v>7.8</v>
      </c>
      <c r="E501">
        <v>5</v>
      </c>
      <c r="F501">
        <v>10</v>
      </c>
      <c r="G501">
        <v>13</v>
      </c>
      <c r="H501">
        <v>1</v>
      </c>
      <c r="I501" t="s">
        <v>1319</v>
      </c>
      <c r="J501" s="72">
        <v>0</v>
      </c>
    </row>
    <row r="502" spans="1:10" x14ac:dyDescent="0.25">
      <c r="A502" t="s">
        <v>1114</v>
      </c>
      <c r="B502" s="1" t="s">
        <v>1483</v>
      </c>
      <c r="C502">
        <v>3.2</v>
      </c>
      <c r="D502" s="72">
        <f>PRODUCTOS[[#This Row],[V/U VENTA]]*PRODUCTOS[[#This Row],[CANTIDAD]]</f>
        <v>3.2</v>
      </c>
      <c r="E502">
        <v>5</v>
      </c>
      <c r="F502">
        <v>10</v>
      </c>
      <c r="G502">
        <v>1</v>
      </c>
      <c r="H502">
        <v>1</v>
      </c>
      <c r="I502" t="s">
        <v>1319</v>
      </c>
      <c r="J502" s="72">
        <v>0</v>
      </c>
    </row>
    <row r="503" spans="1:10" x14ac:dyDescent="0.25">
      <c r="A503" t="s">
        <v>1115</v>
      </c>
      <c r="B503" s="1" t="s">
        <v>1484</v>
      </c>
      <c r="C503">
        <v>0.87</v>
      </c>
      <c r="D503" s="72">
        <f>PRODUCTOS[[#This Row],[V/U VENTA]]*PRODUCTOS[[#This Row],[CANTIDAD]]</f>
        <v>26.1</v>
      </c>
      <c r="E503">
        <v>5</v>
      </c>
      <c r="F503">
        <v>10</v>
      </c>
      <c r="G503">
        <v>30</v>
      </c>
      <c r="H503">
        <v>1</v>
      </c>
      <c r="I503" t="s">
        <v>1319</v>
      </c>
      <c r="J503" s="72">
        <v>0</v>
      </c>
    </row>
    <row r="504" spans="1:10" x14ac:dyDescent="0.25">
      <c r="A504" t="s">
        <v>1116</v>
      </c>
      <c r="B504" s="1" t="s">
        <v>614</v>
      </c>
      <c r="C504">
        <v>0.15</v>
      </c>
      <c r="D504" s="72">
        <f>PRODUCTOS[[#This Row],[V/U VENTA]]*PRODUCTOS[[#This Row],[CANTIDAD]]</f>
        <v>67.8</v>
      </c>
      <c r="E504">
        <v>5</v>
      </c>
      <c r="F504">
        <v>10</v>
      </c>
      <c r="G504">
        <v>452</v>
      </c>
      <c r="H504">
        <v>1</v>
      </c>
      <c r="I504" t="s">
        <v>1319</v>
      </c>
      <c r="J504" s="72">
        <v>0</v>
      </c>
    </row>
    <row r="505" spans="1:10" x14ac:dyDescent="0.25">
      <c r="A505" t="s">
        <v>1117</v>
      </c>
      <c r="B505" s="1" t="s">
        <v>1485</v>
      </c>
      <c r="C505">
        <v>0.18</v>
      </c>
      <c r="D505" s="72">
        <f>PRODUCTOS[[#This Row],[V/U VENTA]]*PRODUCTOS[[#This Row],[CANTIDAD]]</f>
        <v>0</v>
      </c>
      <c r="E505">
        <v>5</v>
      </c>
      <c r="F505">
        <v>10</v>
      </c>
      <c r="G505">
        <v>0</v>
      </c>
      <c r="H505">
        <v>1</v>
      </c>
      <c r="I505" t="s">
        <v>1320</v>
      </c>
      <c r="J505" s="72">
        <v>0</v>
      </c>
    </row>
    <row r="506" spans="1:10" x14ac:dyDescent="0.25">
      <c r="A506" t="s">
        <v>1118</v>
      </c>
      <c r="B506" s="1" t="s">
        <v>78</v>
      </c>
      <c r="C506">
        <v>4.16</v>
      </c>
      <c r="D506" s="72">
        <f>PRODUCTOS[[#This Row],[V/U VENTA]]*PRODUCTOS[[#This Row],[CANTIDAD]]</f>
        <v>4.16</v>
      </c>
      <c r="E506">
        <v>5</v>
      </c>
      <c r="F506">
        <v>10</v>
      </c>
      <c r="G506">
        <v>1</v>
      </c>
      <c r="H506">
        <v>1</v>
      </c>
      <c r="I506" t="s">
        <v>1319</v>
      </c>
      <c r="J506" s="72">
        <v>0</v>
      </c>
    </row>
    <row r="507" spans="1:10" x14ac:dyDescent="0.25">
      <c r="A507" t="s">
        <v>1119</v>
      </c>
      <c r="B507" s="1" t="s">
        <v>1486</v>
      </c>
      <c r="C507">
        <v>5.5</v>
      </c>
      <c r="D507" s="72">
        <f>PRODUCTOS[[#This Row],[V/U VENTA]]*PRODUCTOS[[#This Row],[CANTIDAD]]</f>
        <v>5.5</v>
      </c>
      <c r="E507">
        <v>5</v>
      </c>
      <c r="F507">
        <v>10</v>
      </c>
      <c r="G507">
        <v>1</v>
      </c>
      <c r="H507">
        <v>1</v>
      </c>
      <c r="I507" t="s">
        <v>1319</v>
      </c>
      <c r="J507" s="72">
        <v>0</v>
      </c>
    </row>
    <row r="508" spans="1:10" x14ac:dyDescent="0.25">
      <c r="A508" t="s">
        <v>1120</v>
      </c>
      <c r="B508" s="1" t="s">
        <v>1487</v>
      </c>
      <c r="C508">
        <v>7</v>
      </c>
      <c r="D508" s="72">
        <f>PRODUCTOS[[#This Row],[V/U VENTA]]*PRODUCTOS[[#This Row],[CANTIDAD]]</f>
        <v>7</v>
      </c>
      <c r="E508">
        <v>5</v>
      </c>
      <c r="F508">
        <v>10</v>
      </c>
      <c r="G508">
        <v>1</v>
      </c>
      <c r="H508">
        <v>1</v>
      </c>
      <c r="I508" t="s">
        <v>1319</v>
      </c>
      <c r="J508" s="72">
        <v>0</v>
      </c>
    </row>
    <row r="509" spans="1:10" x14ac:dyDescent="0.25">
      <c r="A509" t="s">
        <v>1121</v>
      </c>
      <c r="B509" s="1" t="s">
        <v>1793</v>
      </c>
      <c r="C509">
        <v>5.5</v>
      </c>
      <c r="D509" s="72">
        <f>PRODUCTOS[[#This Row],[V/U VENTA]]*PRODUCTOS[[#This Row],[CANTIDAD]]</f>
        <v>0</v>
      </c>
      <c r="E509">
        <v>5</v>
      </c>
      <c r="F509">
        <v>10</v>
      </c>
      <c r="G509">
        <v>0</v>
      </c>
      <c r="H509">
        <v>1</v>
      </c>
      <c r="I509" t="s">
        <v>1319</v>
      </c>
      <c r="J509" s="72">
        <v>0</v>
      </c>
    </row>
    <row r="510" spans="1:10" x14ac:dyDescent="0.25">
      <c r="A510" t="s">
        <v>1122</v>
      </c>
      <c r="B510" s="1" t="s">
        <v>115</v>
      </c>
      <c r="C510">
        <v>0.75</v>
      </c>
      <c r="D510" s="72">
        <f>PRODUCTOS[[#This Row],[V/U VENTA]]*PRODUCTOS[[#This Row],[CANTIDAD]]</f>
        <v>56.25</v>
      </c>
      <c r="E510">
        <v>5</v>
      </c>
      <c r="F510">
        <v>10</v>
      </c>
      <c r="G510">
        <v>75</v>
      </c>
      <c r="H510">
        <v>1</v>
      </c>
      <c r="I510" t="s">
        <v>1319</v>
      </c>
      <c r="J510" s="72">
        <v>0</v>
      </c>
    </row>
    <row r="511" spans="1:10" x14ac:dyDescent="0.25">
      <c r="A511" t="s">
        <v>1123</v>
      </c>
      <c r="B511" s="1" t="s">
        <v>101</v>
      </c>
      <c r="C511">
        <v>12</v>
      </c>
      <c r="D511" s="72">
        <f>PRODUCTOS[[#This Row],[V/U VENTA]]*PRODUCTOS[[#This Row],[CANTIDAD]]</f>
        <v>12</v>
      </c>
      <c r="E511">
        <v>5</v>
      </c>
      <c r="F511">
        <v>10</v>
      </c>
      <c r="G511">
        <v>1</v>
      </c>
      <c r="H511">
        <v>1</v>
      </c>
      <c r="I511" t="s">
        <v>1319</v>
      </c>
      <c r="J511" s="72">
        <v>0</v>
      </c>
    </row>
    <row r="512" spans="1:10" x14ac:dyDescent="0.25">
      <c r="A512" t="s">
        <v>1124</v>
      </c>
      <c r="B512" s="1" t="s">
        <v>47</v>
      </c>
      <c r="C512">
        <v>0.9</v>
      </c>
      <c r="D512" s="72">
        <f>PRODUCTOS[[#This Row],[V/U VENTA]]*PRODUCTOS[[#This Row],[CANTIDAD]]</f>
        <v>0</v>
      </c>
      <c r="E512">
        <v>5</v>
      </c>
      <c r="F512">
        <v>10</v>
      </c>
      <c r="G512">
        <v>0</v>
      </c>
      <c r="H512">
        <v>1</v>
      </c>
      <c r="I512" t="s">
        <v>1319</v>
      </c>
      <c r="J512" s="72">
        <v>0</v>
      </c>
    </row>
    <row r="513" spans="1:10" x14ac:dyDescent="0.25">
      <c r="A513" t="s">
        <v>1125</v>
      </c>
      <c r="B513" s="1" t="s">
        <v>535</v>
      </c>
      <c r="C513">
        <v>1.5</v>
      </c>
      <c r="D513" s="72">
        <f>PRODUCTOS[[#This Row],[V/U VENTA]]*PRODUCTOS[[#This Row],[CANTIDAD]]</f>
        <v>12</v>
      </c>
      <c r="E513">
        <v>5</v>
      </c>
      <c r="F513">
        <v>10</v>
      </c>
      <c r="G513">
        <v>8</v>
      </c>
      <c r="H513">
        <v>1</v>
      </c>
      <c r="I513" t="s">
        <v>1319</v>
      </c>
      <c r="J513" s="72">
        <v>0</v>
      </c>
    </row>
    <row r="514" spans="1:10" x14ac:dyDescent="0.25">
      <c r="A514" t="s">
        <v>1126</v>
      </c>
      <c r="B514" s="1" t="s">
        <v>1488</v>
      </c>
      <c r="C514">
        <v>0.35</v>
      </c>
      <c r="D514" s="72">
        <f>PRODUCTOS[[#This Row],[V/U VENTA]]*PRODUCTOS[[#This Row],[CANTIDAD]]</f>
        <v>16.099999999999998</v>
      </c>
      <c r="E514">
        <v>5</v>
      </c>
      <c r="F514">
        <v>10</v>
      </c>
      <c r="G514">
        <v>46</v>
      </c>
      <c r="H514">
        <v>1</v>
      </c>
      <c r="I514" t="s">
        <v>1319</v>
      </c>
      <c r="J514" s="72">
        <v>0</v>
      </c>
    </row>
    <row r="515" spans="1:10" x14ac:dyDescent="0.25">
      <c r="A515" t="s">
        <v>1127</v>
      </c>
      <c r="B515" s="1" t="s">
        <v>1489</v>
      </c>
      <c r="C515">
        <v>3.5</v>
      </c>
      <c r="D515" s="72">
        <f>PRODUCTOS[[#This Row],[V/U VENTA]]*PRODUCTOS[[#This Row],[CANTIDAD]]</f>
        <v>21</v>
      </c>
      <c r="E515">
        <v>5</v>
      </c>
      <c r="F515">
        <v>10</v>
      </c>
      <c r="G515">
        <v>6</v>
      </c>
      <c r="H515">
        <v>1</v>
      </c>
      <c r="I515" t="s">
        <v>1319</v>
      </c>
      <c r="J515" s="72">
        <v>0</v>
      </c>
    </row>
    <row r="516" spans="1:10" x14ac:dyDescent="0.25">
      <c r="A516" t="s">
        <v>1128</v>
      </c>
      <c r="B516" s="1" t="s">
        <v>505</v>
      </c>
      <c r="C516">
        <v>3.5</v>
      </c>
      <c r="D516" s="72">
        <f>PRODUCTOS[[#This Row],[V/U VENTA]]*PRODUCTOS[[#This Row],[CANTIDAD]]</f>
        <v>10.5</v>
      </c>
      <c r="E516">
        <v>5</v>
      </c>
      <c r="F516">
        <v>10</v>
      </c>
      <c r="G516">
        <v>3</v>
      </c>
      <c r="H516">
        <v>1</v>
      </c>
      <c r="I516" t="s">
        <v>1319</v>
      </c>
      <c r="J516" s="72">
        <v>0</v>
      </c>
    </row>
    <row r="517" spans="1:10" x14ac:dyDescent="0.25">
      <c r="A517" t="s">
        <v>1129</v>
      </c>
      <c r="B517" s="1" t="s">
        <v>506</v>
      </c>
      <c r="C517">
        <v>3.8</v>
      </c>
      <c r="D517" s="72">
        <f>PRODUCTOS[[#This Row],[V/U VENTA]]*PRODUCTOS[[#This Row],[CANTIDAD]]</f>
        <v>0</v>
      </c>
      <c r="E517">
        <v>5</v>
      </c>
      <c r="F517">
        <v>10</v>
      </c>
      <c r="G517">
        <v>0</v>
      </c>
      <c r="H517">
        <v>1</v>
      </c>
      <c r="I517" t="s">
        <v>1319</v>
      </c>
      <c r="J517" s="72">
        <v>0</v>
      </c>
    </row>
    <row r="518" spans="1:10" x14ac:dyDescent="0.25">
      <c r="A518" t="s">
        <v>1130</v>
      </c>
      <c r="B518" s="1" t="s">
        <v>469</v>
      </c>
      <c r="C518">
        <v>1.1000000000000001</v>
      </c>
      <c r="D518" s="72">
        <f>PRODUCTOS[[#This Row],[V/U VENTA]]*PRODUCTOS[[#This Row],[CANTIDAD]]</f>
        <v>1.1000000000000001</v>
      </c>
      <c r="E518">
        <v>5</v>
      </c>
      <c r="F518">
        <v>10</v>
      </c>
      <c r="G518">
        <v>1</v>
      </c>
      <c r="H518">
        <v>1</v>
      </c>
      <c r="I518" t="s">
        <v>1319</v>
      </c>
      <c r="J518" s="72">
        <v>0</v>
      </c>
    </row>
    <row r="519" spans="1:10" x14ac:dyDescent="0.25">
      <c r="A519" t="s">
        <v>1131</v>
      </c>
      <c r="B519" s="1" t="s">
        <v>470</v>
      </c>
      <c r="C519">
        <v>1.25</v>
      </c>
      <c r="D519" s="72">
        <f>PRODUCTOS[[#This Row],[V/U VENTA]]*PRODUCTOS[[#This Row],[CANTIDAD]]</f>
        <v>3.75</v>
      </c>
      <c r="E519">
        <v>5</v>
      </c>
      <c r="F519">
        <v>10</v>
      </c>
      <c r="G519">
        <v>3</v>
      </c>
      <c r="H519">
        <v>1</v>
      </c>
      <c r="I519" t="s">
        <v>1319</v>
      </c>
      <c r="J519" s="72">
        <v>0</v>
      </c>
    </row>
    <row r="520" spans="1:10" x14ac:dyDescent="0.25">
      <c r="A520" t="s">
        <v>1132</v>
      </c>
      <c r="B520" s="1" t="s">
        <v>312</v>
      </c>
      <c r="C520">
        <v>18.899999999999999</v>
      </c>
      <c r="D520" s="72">
        <f>PRODUCTOS[[#This Row],[V/U VENTA]]*PRODUCTOS[[#This Row],[CANTIDAD]]</f>
        <v>18.899999999999999</v>
      </c>
      <c r="E520">
        <v>5</v>
      </c>
      <c r="F520">
        <v>10</v>
      </c>
      <c r="G520">
        <v>1</v>
      </c>
      <c r="H520">
        <v>1</v>
      </c>
      <c r="I520" t="s">
        <v>1319</v>
      </c>
      <c r="J520" s="72">
        <v>0</v>
      </c>
    </row>
    <row r="521" spans="1:10" x14ac:dyDescent="0.25">
      <c r="A521" t="s">
        <v>1133</v>
      </c>
      <c r="B521" s="1" t="s">
        <v>311</v>
      </c>
      <c r="C521">
        <v>12.75</v>
      </c>
      <c r="D521" s="72">
        <f>PRODUCTOS[[#This Row],[V/U VENTA]]*PRODUCTOS[[#This Row],[CANTIDAD]]</f>
        <v>0</v>
      </c>
      <c r="E521">
        <v>5</v>
      </c>
      <c r="F521">
        <v>10</v>
      </c>
      <c r="G521">
        <v>0</v>
      </c>
      <c r="H521">
        <v>1</v>
      </c>
      <c r="I521" t="s">
        <v>1319</v>
      </c>
      <c r="J521" s="72">
        <v>0</v>
      </c>
    </row>
    <row r="522" spans="1:10" x14ac:dyDescent="0.25">
      <c r="A522" t="s">
        <v>1134</v>
      </c>
      <c r="B522" s="1" t="s">
        <v>252</v>
      </c>
      <c r="C522">
        <v>0.25</v>
      </c>
      <c r="D522" s="72">
        <f>PRODUCTOS[[#This Row],[V/U VENTA]]*PRODUCTOS[[#This Row],[CANTIDAD]]</f>
        <v>1.5</v>
      </c>
      <c r="E522">
        <v>5</v>
      </c>
      <c r="F522">
        <v>10</v>
      </c>
      <c r="G522">
        <v>6</v>
      </c>
      <c r="H522">
        <v>1</v>
      </c>
      <c r="I522" t="s">
        <v>1319</v>
      </c>
      <c r="J522" s="72">
        <v>0</v>
      </c>
    </row>
    <row r="523" spans="1:10" x14ac:dyDescent="0.25">
      <c r="A523" t="s">
        <v>1135</v>
      </c>
      <c r="B523" s="1" t="s">
        <v>503</v>
      </c>
      <c r="C523">
        <v>29.44</v>
      </c>
      <c r="D523" s="72">
        <f>PRODUCTOS[[#This Row],[V/U VENTA]]*PRODUCTOS[[#This Row],[CANTIDAD]]</f>
        <v>58.88</v>
      </c>
      <c r="E523">
        <v>5</v>
      </c>
      <c r="F523">
        <v>10</v>
      </c>
      <c r="G523">
        <v>2</v>
      </c>
      <c r="H523">
        <v>1</v>
      </c>
      <c r="I523" t="s">
        <v>1319</v>
      </c>
      <c r="J523" s="72">
        <v>0</v>
      </c>
    </row>
    <row r="524" spans="1:10" x14ac:dyDescent="0.25">
      <c r="A524" t="s">
        <v>1136</v>
      </c>
      <c r="B524" s="1" t="s">
        <v>177</v>
      </c>
      <c r="C524">
        <v>1.8</v>
      </c>
      <c r="D524" s="72">
        <f>PRODUCTOS[[#This Row],[V/U VENTA]]*PRODUCTOS[[#This Row],[CANTIDAD]]</f>
        <v>1.8</v>
      </c>
      <c r="E524">
        <v>5</v>
      </c>
      <c r="F524">
        <v>10</v>
      </c>
      <c r="G524">
        <v>1</v>
      </c>
      <c r="H524">
        <v>1</v>
      </c>
      <c r="I524" t="s">
        <v>1319</v>
      </c>
      <c r="J524" s="72">
        <v>0</v>
      </c>
    </row>
    <row r="525" spans="1:10" x14ac:dyDescent="0.25">
      <c r="A525" t="s">
        <v>1137</v>
      </c>
      <c r="B525" s="1" t="s">
        <v>46</v>
      </c>
      <c r="C525">
        <v>0.6</v>
      </c>
      <c r="D525" s="72">
        <f>PRODUCTOS[[#This Row],[V/U VENTA]]*PRODUCTOS[[#This Row],[CANTIDAD]]</f>
        <v>1.7999999999999998</v>
      </c>
      <c r="E525">
        <v>5</v>
      </c>
      <c r="F525">
        <v>10</v>
      </c>
      <c r="G525">
        <v>3</v>
      </c>
      <c r="H525">
        <v>1</v>
      </c>
      <c r="I525" t="s">
        <v>1319</v>
      </c>
      <c r="J525" s="72">
        <v>0</v>
      </c>
    </row>
    <row r="526" spans="1:10" x14ac:dyDescent="0.25">
      <c r="A526" t="s">
        <v>1138</v>
      </c>
      <c r="B526" s="1" t="s">
        <v>1490</v>
      </c>
      <c r="C526">
        <v>0.6</v>
      </c>
      <c r="D526" s="72">
        <f>PRODUCTOS[[#This Row],[V/U VENTA]]*PRODUCTOS[[#This Row],[CANTIDAD]]</f>
        <v>18</v>
      </c>
      <c r="E526">
        <v>5</v>
      </c>
      <c r="F526">
        <v>10</v>
      </c>
      <c r="G526">
        <v>30</v>
      </c>
      <c r="H526">
        <v>1</v>
      </c>
      <c r="I526" t="s">
        <v>1319</v>
      </c>
      <c r="J526" s="72">
        <v>0</v>
      </c>
    </row>
    <row r="527" spans="1:10" x14ac:dyDescent="0.25">
      <c r="A527" t="s">
        <v>1139</v>
      </c>
      <c r="B527" s="1" t="s">
        <v>1491</v>
      </c>
      <c r="C527">
        <v>0.57999999999999996</v>
      </c>
      <c r="D527" s="72">
        <f>PRODUCTOS[[#This Row],[V/U VENTA]]*PRODUCTOS[[#This Row],[CANTIDAD]]</f>
        <v>11.6</v>
      </c>
      <c r="E527">
        <v>5</v>
      </c>
      <c r="F527">
        <v>10</v>
      </c>
      <c r="G527">
        <v>20</v>
      </c>
      <c r="H527">
        <v>1</v>
      </c>
      <c r="I527" t="s">
        <v>1319</v>
      </c>
      <c r="J527" s="72">
        <v>0</v>
      </c>
    </row>
    <row r="528" spans="1:10" x14ac:dyDescent="0.25">
      <c r="A528" t="s">
        <v>1140</v>
      </c>
      <c r="B528" s="1" t="s">
        <v>455</v>
      </c>
      <c r="C528">
        <v>4.21</v>
      </c>
      <c r="D528" s="72">
        <f>PRODUCTOS[[#This Row],[V/U VENTA]]*PRODUCTOS[[#This Row],[CANTIDAD]]</f>
        <v>0</v>
      </c>
      <c r="E528">
        <v>5</v>
      </c>
      <c r="F528">
        <v>10</v>
      </c>
      <c r="G528">
        <v>0</v>
      </c>
      <c r="H528">
        <v>1</v>
      </c>
      <c r="I528" t="s">
        <v>1319</v>
      </c>
      <c r="J528" s="72">
        <v>0</v>
      </c>
    </row>
    <row r="529" spans="1:10" x14ac:dyDescent="0.25">
      <c r="A529" t="s">
        <v>1141</v>
      </c>
      <c r="B529" s="1" t="s">
        <v>112</v>
      </c>
      <c r="C529">
        <v>0.75</v>
      </c>
      <c r="D529" s="72">
        <f>PRODUCTOS[[#This Row],[V/U VENTA]]*PRODUCTOS[[#This Row],[CANTIDAD]]</f>
        <v>7.5</v>
      </c>
      <c r="E529">
        <v>5</v>
      </c>
      <c r="F529">
        <v>10</v>
      </c>
      <c r="G529">
        <v>10</v>
      </c>
      <c r="H529">
        <v>1</v>
      </c>
      <c r="I529" t="s">
        <v>1319</v>
      </c>
      <c r="J529" s="72">
        <v>0</v>
      </c>
    </row>
    <row r="530" spans="1:10" x14ac:dyDescent="0.25">
      <c r="A530" t="s">
        <v>1142</v>
      </c>
      <c r="B530" s="1" t="s">
        <v>1492</v>
      </c>
      <c r="C530">
        <v>0.4</v>
      </c>
      <c r="D530" s="72">
        <f>PRODUCTOS[[#This Row],[V/U VENTA]]*PRODUCTOS[[#This Row],[CANTIDAD]]</f>
        <v>12</v>
      </c>
      <c r="E530">
        <v>5</v>
      </c>
      <c r="F530">
        <v>10</v>
      </c>
      <c r="G530">
        <v>30</v>
      </c>
      <c r="H530">
        <v>1</v>
      </c>
      <c r="I530" t="s">
        <v>1319</v>
      </c>
      <c r="J530" s="72">
        <v>0</v>
      </c>
    </row>
    <row r="531" spans="1:10" x14ac:dyDescent="0.25">
      <c r="A531" t="s">
        <v>1143</v>
      </c>
      <c r="B531" s="1" t="s">
        <v>1493</v>
      </c>
      <c r="C531">
        <v>1.6</v>
      </c>
      <c r="D531" s="72">
        <f>PRODUCTOS[[#This Row],[V/U VENTA]]*PRODUCTOS[[#This Row],[CANTIDAD]]</f>
        <v>0</v>
      </c>
      <c r="E531">
        <v>5</v>
      </c>
      <c r="F531">
        <v>10</v>
      </c>
      <c r="G531">
        <v>0</v>
      </c>
      <c r="H531">
        <v>1</v>
      </c>
      <c r="I531" t="s">
        <v>1319</v>
      </c>
      <c r="J531" s="72">
        <v>0</v>
      </c>
    </row>
    <row r="532" spans="1:10" x14ac:dyDescent="0.25">
      <c r="A532" t="s">
        <v>1144</v>
      </c>
      <c r="B532" s="1" t="s">
        <v>566</v>
      </c>
      <c r="C532">
        <v>0.8</v>
      </c>
      <c r="D532" s="72">
        <f>PRODUCTOS[[#This Row],[V/U VENTA]]*PRODUCTOS[[#This Row],[CANTIDAD]]</f>
        <v>57.6</v>
      </c>
      <c r="E532">
        <v>5</v>
      </c>
      <c r="F532">
        <v>10</v>
      </c>
      <c r="G532">
        <v>72</v>
      </c>
      <c r="H532">
        <v>1</v>
      </c>
      <c r="I532" t="s">
        <v>1320</v>
      </c>
      <c r="J532" s="72">
        <v>0</v>
      </c>
    </row>
    <row r="533" spans="1:10" x14ac:dyDescent="0.25">
      <c r="A533" t="s">
        <v>1145</v>
      </c>
      <c r="B533" s="1" t="s">
        <v>610</v>
      </c>
      <c r="C533">
        <v>0.5</v>
      </c>
      <c r="D533" s="72">
        <f>PRODUCTOS[[#This Row],[V/U VENTA]]*PRODUCTOS[[#This Row],[CANTIDAD]]</f>
        <v>5</v>
      </c>
      <c r="E533">
        <v>5</v>
      </c>
      <c r="F533">
        <v>10</v>
      </c>
      <c r="G533">
        <v>10</v>
      </c>
      <c r="H533">
        <v>1</v>
      </c>
      <c r="I533" t="s">
        <v>1319</v>
      </c>
      <c r="J533" s="72">
        <v>0</v>
      </c>
    </row>
    <row r="534" spans="1:10" x14ac:dyDescent="0.25">
      <c r="A534" t="s">
        <v>1146</v>
      </c>
      <c r="B534" s="1" t="s">
        <v>74</v>
      </c>
      <c r="C534">
        <v>5</v>
      </c>
      <c r="D534" s="72">
        <f>PRODUCTOS[[#This Row],[V/U VENTA]]*PRODUCTOS[[#This Row],[CANTIDAD]]</f>
        <v>10</v>
      </c>
      <c r="E534">
        <v>5</v>
      </c>
      <c r="F534">
        <v>10</v>
      </c>
      <c r="G534">
        <v>2</v>
      </c>
      <c r="H534">
        <v>1</v>
      </c>
      <c r="I534" t="s">
        <v>1319</v>
      </c>
      <c r="J534" s="72">
        <v>0</v>
      </c>
    </row>
    <row r="535" spans="1:10" x14ac:dyDescent="0.25">
      <c r="A535" t="s">
        <v>1147</v>
      </c>
      <c r="B535" s="1" t="s">
        <v>594</v>
      </c>
      <c r="C535">
        <v>0.4</v>
      </c>
      <c r="D535" s="72">
        <f>PRODUCTOS[[#This Row],[V/U VENTA]]*PRODUCTOS[[#This Row],[CANTIDAD]]</f>
        <v>24</v>
      </c>
      <c r="E535">
        <v>5</v>
      </c>
      <c r="F535">
        <v>10</v>
      </c>
      <c r="G535">
        <v>60</v>
      </c>
      <c r="H535">
        <v>1</v>
      </c>
      <c r="I535" t="s">
        <v>1319</v>
      </c>
      <c r="J535" s="72">
        <v>0</v>
      </c>
    </row>
    <row r="536" spans="1:10" x14ac:dyDescent="0.25">
      <c r="A536" t="s">
        <v>1148</v>
      </c>
      <c r="B536" s="1" t="s">
        <v>346</v>
      </c>
      <c r="C536">
        <v>0.25</v>
      </c>
      <c r="D536" s="72">
        <f>PRODUCTOS[[#This Row],[V/U VENTA]]*PRODUCTOS[[#This Row],[CANTIDAD]]</f>
        <v>6.5</v>
      </c>
      <c r="E536">
        <v>5</v>
      </c>
      <c r="F536">
        <v>10</v>
      </c>
      <c r="G536">
        <v>26</v>
      </c>
      <c r="H536">
        <v>1</v>
      </c>
      <c r="I536" t="s">
        <v>1319</v>
      </c>
      <c r="J536" s="72">
        <v>0</v>
      </c>
    </row>
    <row r="537" spans="1:10" x14ac:dyDescent="0.25">
      <c r="A537" t="s">
        <v>1149</v>
      </c>
      <c r="B537" s="1" t="s">
        <v>343</v>
      </c>
      <c r="C537">
        <v>0.4</v>
      </c>
      <c r="D537" s="72">
        <f>PRODUCTOS[[#This Row],[V/U VENTA]]*PRODUCTOS[[#This Row],[CANTIDAD]]</f>
        <v>4</v>
      </c>
      <c r="E537">
        <v>5</v>
      </c>
      <c r="F537">
        <v>10</v>
      </c>
      <c r="G537">
        <v>10</v>
      </c>
      <c r="H537">
        <v>1</v>
      </c>
      <c r="I537" t="s">
        <v>1319</v>
      </c>
      <c r="J537" s="72">
        <v>0</v>
      </c>
    </row>
    <row r="538" spans="1:10" x14ac:dyDescent="0.25">
      <c r="A538" t="s">
        <v>1150</v>
      </c>
      <c r="B538" s="1" t="s">
        <v>1494</v>
      </c>
      <c r="C538">
        <v>0.15</v>
      </c>
      <c r="D538" s="72">
        <f>PRODUCTOS[[#This Row],[V/U VENTA]]*PRODUCTOS[[#This Row],[CANTIDAD]]</f>
        <v>3</v>
      </c>
      <c r="E538">
        <v>5</v>
      </c>
      <c r="F538">
        <v>10</v>
      </c>
      <c r="G538">
        <v>20</v>
      </c>
      <c r="H538">
        <v>1</v>
      </c>
      <c r="I538" t="s">
        <v>1319</v>
      </c>
      <c r="J538" s="72">
        <v>0</v>
      </c>
    </row>
    <row r="539" spans="1:10" x14ac:dyDescent="0.25">
      <c r="A539" t="s">
        <v>1151</v>
      </c>
      <c r="B539" s="1" t="s">
        <v>1794</v>
      </c>
      <c r="C539">
        <v>0.4</v>
      </c>
      <c r="D539" s="72">
        <f>PRODUCTOS[[#This Row],[V/U VENTA]]*PRODUCTOS[[#This Row],[CANTIDAD]]</f>
        <v>0</v>
      </c>
      <c r="E539">
        <v>5</v>
      </c>
      <c r="F539">
        <v>10</v>
      </c>
      <c r="G539">
        <v>0</v>
      </c>
      <c r="H539">
        <v>1</v>
      </c>
      <c r="I539" t="s">
        <v>1319</v>
      </c>
      <c r="J539" s="72">
        <v>0</v>
      </c>
    </row>
    <row r="540" spans="1:10" x14ac:dyDescent="0.25">
      <c r="A540" t="s">
        <v>1152</v>
      </c>
      <c r="B540" s="1" t="s">
        <v>134</v>
      </c>
      <c r="C540">
        <v>0.6</v>
      </c>
      <c r="D540" s="72">
        <f>PRODUCTOS[[#This Row],[V/U VENTA]]*PRODUCTOS[[#This Row],[CANTIDAD]]</f>
        <v>25.8</v>
      </c>
      <c r="E540">
        <v>5</v>
      </c>
      <c r="F540">
        <v>10</v>
      </c>
      <c r="G540">
        <v>43</v>
      </c>
      <c r="H540">
        <v>1</v>
      </c>
      <c r="I540" t="s">
        <v>1319</v>
      </c>
      <c r="J540" s="72">
        <v>0</v>
      </c>
    </row>
    <row r="541" spans="1:10" x14ac:dyDescent="0.25">
      <c r="A541" t="s">
        <v>1153</v>
      </c>
      <c r="B541" s="1" t="s">
        <v>88</v>
      </c>
      <c r="C541">
        <v>0.1</v>
      </c>
      <c r="D541" s="72">
        <f>PRODUCTOS[[#This Row],[V/U VENTA]]*PRODUCTOS[[#This Row],[CANTIDAD]]</f>
        <v>0</v>
      </c>
      <c r="E541">
        <v>5</v>
      </c>
      <c r="F541">
        <v>10</v>
      </c>
      <c r="G541">
        <v>0</v>
      </c>
      <c r="H541">
        <v>1</v>
      </c>
      <c r="I541" t="s">
        <v>1320</v>
      </c>
      <c r="J541" s="72">
        <v>0</v>
      </c>
    </row>
    <row r="542" spans="1:10" x14ac:dyDescent="0.25">
      <c r="A542" t="s">
        <v>1154</v>
      </c>
      <c r="B542" s="1" t="s">
        <v>592</v>
      </c>
      <c r="C542">
        <v>4</v>
      </c>
      <c r="D542" s="72">
        <f>PRODUCTOS[[#This Row],[V/U VENTA]]*PRODUCTOS[[#This Row],[CANTIDAD]]</f>
        <v>4</v>
      </c>
      <c r="E542">
        <v>5</v>
      </c>
      <c r="F542">
        <v>10</v>
      </c>
      <c r="G542">
        <v>1</v>
      </c>
      <c r="H542">
        <v>1</v>
      </c>
      <c r="I542" t="s">
        <v>1319</v>
      </c>
      <c r="J542" s="72">
        <v>0</v>
      </c>
    </row>
    <row r="543" spans="1:10" x14ac:dyDescent="0.25">
      <c r="A543" t="s">
        <v>1155</v>
      </c>
      <c r="B543" s="1" t="s">
        <v>593</v>
      </c>
      <c r="C543">
        <v>3.29</v>
      </c>
      <c r="D543" s="72">
        <f>PRODUCTOS[[#This Row],[V/U VENTA]]*PRODUCTOS[[#This Row],[CANTIDAD]]</f>
        <v>6.58</v>
      </c>
      <c r="E543">
        <v>5</v>
      </c>
      <c r="F543">
        <v>10</v>
      </c>
      <c r="G543">
        <v>2</v>
      </c>
      <c r="H543">
        <v>1</v>
      </c>
      <c r="I543" t="s">
        <v>1319</v>
      </c>
      <c r="J543" s="72">
        <v>0</v>
      </c>
    </row>
    <row r="544" spans="1:10" x14ac:dyDescent="0.25">
      <c r="A544" t="s">
        <v>1156</v>
      </c>
      <c r="B544" s="1" t="s">
        <v>265</v>
      </c>
      <c r="C544">
        <v>3.24</v>
      </c>
      <c r="D544" s="72">
        <f>PRODUCTOS[[#This Row],[V/U VENTA]]*PRODUCTOS[[#This Row],[CANTIDAD]]</f>
        <v>6.48</v>
      </c>
      <c r="E544">
        <v>5</v>
      </c>
      <c r="F544">
        <v>10</v>
      </c>
      <c r="G544">
        <v>2</v>
      </c>
      <c r="H544">
        <v>1</v>
      </c>
      <c r="I544" t="s">
        <v>1319</v>
      </c>
      <c r="J544" s="72">
        <v>0</v>
      </c>
    </row>
    <row r="545" spans="1:10" x14ac:dyDescent="0.25">
      <c r="A545" t="s">
        <v>1157</v>
      </c>
      <c r="B545" s="1" t="s">
        <v>1495</v>
      </c>
      <c r="C545">
        <v>0.75</v>
      </c>
      <c r="D545" s="72">
        <f>PRODUCTOS[[#This Row],[V/U VENTA]]*PRODUCTOS[[#This Row],[CANTIDAD]]</f>
        <v>9</v>
      </c>
      <c r="E545">
        <v>5</v>
      </c>
      <c r="F545">
        <v>10</v>
      </c>
      <c r="G545">
        <v>12</v>
      </c>
      <c r="H545">
        <v>1</v>
      </c>
      <c r="I545" t="s">
        <v>1319</v>
      </c>
      <c r="J545" s="72">
        <v>0</v>
      </c>
    </row>
    <row r="546" spans="1:10" x14ac:dyDescent="0.25">
      <c r="A546" t="s">
        <v>1158</v>
      </c>
      <c r="B546" s="1" t="s">
        <v>104</v>
      </c>
      <c r="C546">
        <v>0.8</v>
      </c>
      <c r="D546" s="72">
        <f>PRODUCTOS[[#This Row],[V/U VENTA]]*PRODUCTOS[[#This Row],[CANTIDAD]]</f>
        <v>1.6</v>
      </c>
      <c r="E546">
        <v>5</v>
      </c>
      <c r="F546">
        <v>10</v>
      </c>
      <c r="G546">
        <v>2</v>
      </c>
      <c r="H546">
        <v>1</v>
      </c>
      <c r="I546" t="s">
        <v>1319</v>
      </c>
      <c r="J546" s="72">
        <v>0</v>
      </c>
    </row>
    <row r="547" spans="1:10" x14ac:dyDescent="0.25">
      <c r="A547" t="s">
        <v>1159</v>
      </c>
      <c r="B547" s="1" t="s">
        <v>1496</v>
      </c>
      <c r="C547">
        <v>6.3</v>
      </c>
      <c r="D547" s="72">
        <f>PRODUCTOS[[#This Row],[V/U VENTA]]*PRODUCTOS[[#This Row],[CANTIDAD]]</f>
        <v>0</v>
      </c>
      <c r="E547">
        <v>5</v>
      </c>
      <c r="F547">
        <v>10</v>
      </c>
      <c r="G547">
        <v>0</v>
      </c>
      <c r="H547">
        <v>1</v>
      </c>
      <c r="I547" t="s">
        <v>1319</v>
      </c>
      <c r="J547" s="72">
        <v>0</v>
      </c>
    </row>
    <row r="548" spans="1:10" x14ac:dyDescent="0.25">
      <c r="A548" t="s">
        <v>1160</v>
      </c>
      <c r="B548" s="1" t="s">
        <v>516</v>
      </c>
      <c r="C548">
        <v>1.5</v>
      </c>
      <c r="D548" s="72">
        <f>PRODUCTOS[[#This Row],[V/U VENTA]]*PRODUCTOS[[#This Row],[CANTIDAD]]</f>
        <v>6</v>
      </c>
      <c r="E548">
        <v>5</v>
      </c>
      <c r="F548">
        <v>10</v>
      </c>
      <c r="G548">
        <v>4</v>
      </c>
      <c r="H548">
        <v>1</v>
      </c>
      <c r="I548" t="s">
        <v>1319</v>
      </c>
      <c r="J548" s="72">
        <v>0</v>
      </c>
    </row>
    <row r="549" spans="1:10" x14ac:dyDescent="0.25">
      <c r="A549" t="s">
        <v>1161</v>
      </c>
      <c r="B549" s="1" t="s">
        <v>320</v>
      </c>
      <c r="C549">
        <v>0.68</v>
      </c>
      <c r="D549" s="72">
        <f>PRODUCTOS[[#This Row],[V/U VENTA]]*PRODUCTOS[[#This Row],[CANTIDAD]]</f>
        <v>4.08</v>
      </c>
      <c r="E549">
        <v>5</v>
      </c>
      <c r="F549">
        <v>10</v>
      </c>
      <c r="G549">
        <v>6</v>
      </c>
      <c r="H549">
        <v>1</v>
      </c>
      <c r="I549" t="s">
        <v>1319</v>
      </c>
      <c r="J549" s="72">
        <v>0</v>
      </c>
    </row>
    <row r="550" spans="1:10" x14ac:dyDescent="0.25">
      <c r="A550" t="s">
        <v>1162</v>
      </c>
      <c r="B550" s="1" t="s">
        <v>45</v>
      </c>
      <c r="C550" s="4">
        <v>0.5</v>
      </c>
      <c r="D550" s="72">
        <f>PRODUCTOS[[#This Row],[V/U VENTA]]*PRODUCTOS[[#This Row],[CANTIDAD]]</f>
        <v>15</v>
      </c>
      <c r="E550">
        <v>5</v>
      </c>
      <c r="F550">
        <v>10</v>
      </c>
      <c r="G550">
        <v>30</v>
      </c>
      <c r="H550">
        <v>1</v>
      </c>
      <c r="I550" t="s">
        <v>1319</v>
      </c>
      <c r="J550" s="72">
        <v>0</v>
      </c>
    </row>
    <row r="551" spans="1:10" x14ac:dyDescent="0.25">
      <c r="A551" t="s">
        <v>1163</v>
      </c>
      <c r="B551" s="1" t="s">
        <v>488</v>
      </c>
      <c r="C551">
        <v>7</v>
      </c>
      <c r="D551" s="72">
        <f>PRODUCTOS[[#This Row],[V/U VENTA]]*PRODUCTOS[[#This Row],[CANTIDAD]]</f>
        <v>0</v>
      </c>
      <c r="E551">
        <v>5</v>
      </c>
      <c r="F551">
        <v>10</v>
      </c>
      <c r="G551">
        <v>0</v>
      </c>
      <c r="H551">
        <v>1</v>
      </c>
      <c r="I551" t="s">
        <v>1319</v>
      </c>
      <c r="J551" s="72">
        <v>0</v>
      </c>
    </row>
    <row r="552" spans="1:10" x14ac:dyDescent="0.25">
      <c r="A552" t="s">
        <v>1164</v>
      </c>
      <c r="B552" s="1" t="s">
        <v>236</v>
      </c>
      <c r="C552">
        <v>1.5</v>
      </c>
      <c r="D552" s="72">
        <f>PRODUCTOS[[#This Row],[V/U VENTA]]*PRODUCTOS[[#This Row],[CANTIDAD]]</f>
        <v>1.5</v>
      </c>
      <c r="E552">
        <v>5</v>
      </c>
      <c r="F552">
        <v>10</v>
      </c>
      <c r="G552">
        <v>1</v>
      </c>
      <c r="H552">
        <v>1</v>
      </c>
      <c r="I552" t="s">
        <v>1319</v>
      </c>
      <c r="J552" s="72">
        <v>0</v>
      </c>
    </row>
    <row r="553" spans="1:10" x14ac:dyDescent="0.25">
      <c r="A553" t="s">
        <v>1165</v>
      </c>
      <c r="B553" s="1" t="s">
        <v>570</v>
      </c>
      <c r="C553">
        <v>8.48</v>
      </c>
      <c r="D553" s="72">
        <f>PRODUCTOS[[#This Row],[V/U VENTA]]*PRODUCTOS[[#This Row],[CANTIDAD]]</f>
        <v>0</v>
      </c>
      <c r="E553">
        <v>5</v>
      </c>
      <c r="F553">
        <v>10</v>
      </c>
      <c r="G553">
        <v>0</v>
      </c>
      <c r="H553">
        <v>1</v>
      </c>
      <c r="I553" t="s">
        <v>1319</v>
      </c>
      <c r="J553" s="72">
        <v>0</v>
      </c>
    </row>
    <row r="554" spans="1:10" x14ac:dyDescent="0.25">
      <c r="A554" t="s">
        <v>1166</v>
      </c>
      <c r="B554" s="1" t="s">
        <v>1497</v>
      </c>
      <c r="C554">
        <v>2.2000000000000002</v>
      </c>
      <c r="D554" s="72">
        <f>PRODUCTOS[[#This Row],[V/U VENTA]]*PRODUCTOS[[#This Row],[CANTIDAD]]</f>
        <v>28.6</v>
      </c>
      <c r="E554">
        <v>5</v>
      </c>
      <c r="F554">
        <v>10</v>
      </c>
      <c r="G554">
        <v>13</v>
      </c>
      <c r="H554">
        <v>1</v>
      </c>
      <c r="I554" t="s">
        <v>1319</v>
      </c>
      <c r="J554" s="72">
        <v>0</v>
      </c>
    </row>
    <row r="555" spans="1:10" x14ac:dyDescent="0.25">
      <c r="A555" t="s">
        <v>1167</v>
      </c>
      <c r="B555" s="1" t="s">
        <v>307</v>
      </c>
      <c r="C555">
        <v>8.94</v>
      </c>
      <c r="D555" s="72">
        <f>PRODUCTOS[[#This Row],[V/U VENTA]]*PRODUCTOS[[#This Row],[CANTIDAD]]</f>
        <v>8.94</v>
      </c>
      <c r="E555">
        <v>5</v>
      </c>
      <c r="F555">
        <v>10</v>
      </c>
      <c r="G555">
        <v>1</v>
      </c>
      <c r="H555">
        <v>1</v>
      </c>
      <c r="I555" t="s">
        <v>1319</v>
      </c>
      <c r="J555" s="72">
        <v>0</v>
      </c>
    </row>
    <row r="556" spans="1:10" x14ac:dyDescent="0.25">
      <c r="A556" t="s">
        <v>1168</v>
      </c>
      <c r="B556" s="1" t="s">
        <v>235</v>
      </c>
      <c r="C556">
        <v>0.45</v>
      </c>
      <c r="D556" s="72">
        <f>PRODUCTOS[[#This Row],[V/U VENTA]]*PRODUCTOS[[#This Row],[CANTIDAD]]</f>
        <v>0</v>
      </c>
      <c r="E556">
        <v>5</v>
      </c>
      <c r="F556">
        <v>10</v>
      </c>
      <c r="G556">
        <v>0</v>
      </c>
      <c r="H556">
        <v>1</v>
      </c>
      <c r="I556" t="s">
        <v>1320</v>
      </c>
      <c r="J556" s="72">
        <v>0</v>
      </c>
    </row>
    <row r="557" spans="1:10" x14ac:dyDescent="0.25">
      <c r="A557" t="s">
        <v>1169</v>
      </c>
      <c r="B557" s="1" t="s">
        <v>1498</v>
      </c>
      <c r="C557">
        <v>18.899999999999999</v>
      </c>
      <c r="D557" s="72">
        <f>PRODUCTOS[[#This Row],[V/U VENTA]]*PRODUCTOS[[#This Row],[CANTIDAD]]</f>
        <v>18.899999999999999</v>
      </c>
      <c r="E557">
        <v>5</v>
      </c>
      <c r="F557">
        <v>10</v>
      </c>
      <c r="G557">
        <v>1</v>
      </c>
      <c r="H557">
        <v>1</v>
      </c>
      <c r="I557" t="s">
        <v>1319</v>
      </c>
      <c r="J557" s="72">
        <v>0</v>
      </c>
    </row>
    <row r="558" spans="1:10" x14ac:dyDescent="0.25">
      <c r="A558" t="s">
        <v>1170</v>
      </c>
      <c r="B558" s="1" t="s">
        <v>398</v>
      </c>
      <c r="C558">
        <v>18.25</v>
      </c>
      <c r="D558" s="72">
        <f>PRODUCTOS[[#This Row],[V/U VENTA]]*PRODUCTOS[[#This Row],[CANTIDAD]]</f>
        <v>0</v>
      </c>
      <c r="E558">
        <v>5</v>
      </c>
      <c r="F558">
        <v>10</v>
      </c>
      <c r="G558">
        <v>0</v>
      </c>
      <c r="H558">
        <v>1</v>
      </c>
      <c r="I558" t="s">
        <v>1319</v>
      </c>
      <c r="J558" s="72">
        <v>0</v>
      </c>
    </row>
    <row r="559" spans="1:10" x14ac:dyDescent="0.25">
      <c r="A559" t="s">
        <v>1171</v>
      </c>
      <c r="B559" s="1" t="s">
        <v>1795</v>
      </c>
      <c r="C559">
        <v>0.45</v>
      </c>
      <c r="D559" s="72">
        <f>PRODUCTOS[[#This Row],[V/U VENTA]]*PRODUCTOS[[#This Row],[CANTIDAD]]</f>
        <v>0.9</v>
      </c>
      <c r="E559">
        <v>5</v>
      </c>
      <c r="F559">
        <v>10</v>
      </c>
      <c r="G559">
        <v>2</v>
      </c>
      <c r="H559">
        <v>1</v>
      </c>
      <c r="I559" t="s">
        <v>1320</v>
      </c>
      <c r="J559" s="72">
        <v>0</v>
      </c>
    </row>
    <row r="560" spans="1:10" x14ac:dyDescent="0.25">
      <c r="A560" t="s">
        <v>1172</v>
      </c>
      <c r="B560" s="1" t="s">
        <v>251</v>
      </c>
      <c r="C560">
        <v>0.48</v>
      </c>
      <c r="D560" s="72">
        <f>PRODUCTOS[[#This Row],[V/U VENTA]]*PRODUCTOS[[#This Row],[CANTIDAD]]</f>
        <v>0</v>
      </c>
      <c r="E560">
        <v>5</v>
      </c>
      <c r="F560">
        <v>10</v>
      </c>
      <c r="G560">
        <v>0</v>
      </c>
      <c r="H560">
        <v>1</v>
      </c>
      <c r="I560" t="s">
        <v>1319</v>
      </c>
      <c r="J560" s="72">
        <v>0</v>
      </c>
    </row>
    <row r="561" spans="1:10" x14ac:dyDescent="0.25">
      <c r="A561" t="s">
        <v>1173</v>
      </c>
      <c r="B561" s="1" t="s">
        <v>366</v>
      </c>
      <c r="C561">
        <v>4.43</v>
      </c>
      <c r="D561" s="72">
        <f>PRODUCTOS[[#This Row],[V/U VENTA]]*PRODUCTOS[[#This Row],[CANTIDAD]]</f>
        <v>8.86</v>
      </c>
      <c r="E561">
        <v>5</v>
      </c>
      <c r="F561">
        <v>10</v>
      </c>
      <c r="G561">
        <v>2</v>
      </c>
      <c r="H561">
        <v>1</v>
      </c>
      <c r="I561" t="s">
        <v>1319</v>
      </c>
      <c r="J561" s="72">
        <v>0</v>
      </c>
    </row>
    <row r="562" spans="1:10" x14ac:dyDescent="0.25">
      <c r="A562" t="s">
        <v>1174</v>
      </c>
      <c r="B562" s="1" t="s">
        <v>1499</v>
      </c>
      <c r="C562">
        <v>0.25</v>
      </c>
      <c r="D562" s="72">
        <f>PRODUCTOS[[#This Row],[V/U VENTA]]*PRODUCTOS[[#This Row],[CANTIDAD]]</f>
        <v>0</v>
      </c>
      <c r="E562">
        <v>5</v>
      </c>
      <c r="F562">
        <v>10</v>
      </c>
      <c r="G562">
        <v>0</v>
      </c>
      <c r="H562">
        <v>1</v>
      </c>
      <c r="I562" t="s">
        <v>1319</v>
      </c>
      <c r="J562" s="72">
        <v>0</v>
      </c>
    </row>
    <row r="563" spans="1:10" x14ac:dyDescent="0.25">
      <c r="A563" t="s">
        <v>1175</v>
      </c>
      <c r="B563" s="1" t="s">
        <v>1500</v>
      </c>
      <c r="C563">
        <v>12.8</v>
      </c>
      <c r="D563" s="72">
        <f>PRODUCTOS[[#This Row],[V/U VENTA]]*PRODUCTOS[[#This Row],[CANTIDAD]]</f>
        <v>0</v>
      </c>
      <c r="E563">
        <v>5</v>
      </c>
      <c r="F563">
        <v>10</v>
      </c>
      <c r="G563">
        <v>0</v>
      </c>
      <c r="H563">
        <v>1</v>
      </c>
      <c r="I563" t="s">
        <v>1319</v>
      </c>
      <c r="J563" s="72">
        <v>0</v>
      </c>
    </row>
    <row r="564" spans="1:10" x14ac:dyDescent="0.25">
      <c r="A564" t="s">
        <v>1176</v>
      </c>
      <c r="B564" s="1" t="s">
        <v>452</v>
      </c>
      <c r="C564">
        <v>15</v>
      </c>
      <c r="D564" s="72">
        <f>PRODUCTOS[[#This Row],[V/U VENTA]]*PRODUCTOS[[#This Row],[CANTIDAD]]</f>
        <v>15</v>
      </c>
      <c r="E564">
        <v>5</v>
      </c>
      <c r="F564">
        <v>10</v>
      </c>
      <c r="G564">
        <v>1</v>
      </c>
      <c r="H564">
        <v>1</v>
      </c>
      <c r="I564" t="s">
        <v>1319</v>
      </c>
      <c r="J564" s="72">
        <v>0</v>
      </c>
    </row>
    <row r="565" spans="1:10" x14ac:dyDescent="0.25">
      <c r="A565" t="s">
        <v>1177</v>
      </c>
      <c r="B565" s="1" t="s">
        <v>453</v>
      </c>
      <c r="C565">
        <v>12</v>
      </c>
      <c r="D565" s="72">
        <f>PRODUCTOS[[#This Row],[V/U VENTA]]*PRODUCTOS[[#This Row],[CANTIDAD]]</f>
        <v>12</v>
      </c>
      <c r="E565">
        <v>5</v>
      </c>
      <c r="F565">
        <v>10</v>
      </c>
      <c r="G565">
        <v>1</v>
      </c>
      <c r="H565">
        <v>1</v>
      </c>
      <c r="I565" t="s">
        <v>1319</v>
      </c>
      <c r="J565" s="72">
        <v>0</v>
      </c>
    </row>
    <row r="566" spans="1:10" x14ac:dyDescent="0.25">
      <c r="A566" t="s">
        <v>1178</v>
      </c>
      <c r="B566" s="1" t="s">
        <v>228</v>
      </c>
      <c r="C566">
        <v>4.5</v>
      </c>
      <c r="D566" s="72">
        <f>PRODUCTOS[[#This Row],[V/U VENTA]]*PRODUCTOS[[#This Row],[CANTIDAD]]</f>
        <v>0</v>
      </c>
      <c r="E566">
        <v>5</v>
      </c>
      <c r="F566">
        <v>10</v>
      </c>
      <c r="G566">
        <v>0</v>
      </c>
      <c r="H566">
        <v>1</v>
      </c>
      <c r="I566" t="s">
        <v>1319</v>
      </c>
      <c r="J566" s="72">
        <v>0</v>
      </c>
    </row>
    <row r="567" spans="1:10" x14ac:dyDescent="0.25">
      <c r="A567" t="s">
        <v>1179</v>
      </c>
      <c r="B567" s="1" t="s">
        <v>227</v>
      </c>
      <c r="C567">
        <v>5.8</v>
      </c>
      <c r="D567" s="72">
        <f>PRODUCTOS[[#This Row],[V/U VENTA]]*PRODUCTOS[[#This Row],[CANTIDAD]]</f>
        <v>0</v>
      </c>
      <c r="E567">
        <v>5</v>
      </c>
      <c r="F567">
        <v>10</v>
      </c>
      <c r="G567">
        <v>0</v>
      </c>
      <c r="H567">
        <v>1</v>
      </c>
      <c r="I567" t="s">
        <v>1319</v>
      </c>
      <c r="J567" s="72">
        <v>0</v>
      </c>
    </row>
    <row r="568" spans="1:10" x14ac:dyDescent="0.25">
      <c r="A568" t="s">
        <v>1180</v>
      </c>
      <c r="B568" s="1" t="s">
        <v>175</v>
      </c>
      <c r="C568">
        <v>1.25</v>
      </c>
      <c r="D568" s="72">
        <f>PRODUCTOS[[#This Row],[V/U VENTA]]*PRODUCTOS[[#This Row],[CANTIDAD]]</f>
        <v>37.5</v>
      </c>
      <c r="E568">
        <v>5</v>
      </c>
      <c r="F568">
        <v>10</v>
      </c>
      <c r="G568">
        <v>30</v>
      </c>
      <c r="H568">
        <v>1</v>
      </c>
      <c r="I568" t="s">
        <v>1319</v>
      </c>
      <c r="J568" s="72">
        <v>0</v>
      </c>
    </row>
    <row r="569" spans="1:10" x14ac:dyDescent="0.25">
      <c r="A569" t="s">
        <v>1181</v>
      </c>
      <c r="B569" s="1" t="s">
        <v>182</v>
      </c>
      <c r="C569">
        <v>0.47</v>
      </c>
      <c r="D569" s="72">
        <f>PRODUCTOS[[#This Row],[V/U VENTA]]*PRODUCTOS[[#This Row],[CANTIDAD]]</f>
        <v>9.3999999999999986</v>
      </c>
      <c r="E569">
        <v>5</v>
      </c>
      <c r="F569">
        <v>10</v>
      </c>
      <c r="G569">
        <v>20</v>
      </c>
      <c r="H569">
        <v>1</v>
      </c>
      <c r="I569" t="s">
        <v>1319</v>
      </c>
      <c r="J569" s="72">
        <v>0</v>
      </c>
    </row>
    <row r="570" spans="1:10" x14ac:dyDescent="0.25">
      <c r="A570" t="s">
        <v>1182</v>
      </c>
      <c r="B570" s="1" t="s">
        <v>181</v>
      </c>
      <c r="C570">
        <v>0.49</v>
      </c>
      <c r="D570" s="72">
        <f>PRODUCTOS[[#This Row],[V/U VENTA]]*PRODUCTOS[[#This Row],[CANTIDAD]]</f>
        <v>0</v>
      </c>
      <c r="E570">
        <v>5</v>
      </c>
      <c r="F570">
        <v>10</v>
      </c>
      <c r="G570">
        <v>0</v>
      </c>
      <c r="H570">
        <v>1</v>
      </c>
      <c r="I570" t="s">
        <v>1319</v>
      </c>
      <c r="J570" s="72">
        <v>0</v>
      </c>
    </row>
    <row r="571" spans="1:10" x14ac:dyDescent="0.25">
      <c r="A571" t="s">
        <v>1183</v>
      </c>
      <c r="B571" s="1" t="s">
        <v>257</v>
      </c>
      <c r="C571">
        <v>0.5</v>
      </c>
      <c r="D571" s="72">
        <f>PRODUCTOS[[#This Row],[V/U VENTA]]*PRODUCTOS[[#This Row],[CANTIDAD]]</f>
        <v>0</v>
      </c>
      <c r="E571">
        <v>5</v>
      </c>
      <c r="F571">
        <v>10</v>
      </c>
      <c r="G571">
        <v>0</v>
      </c>
      <c r="H571">
        <v>1</v>
      </c>
      <c r="I571" t="s">
        <v>1319</v>
      </c>
      <c r="J571" s="72">
        <v>0</v>
      </c>
    </row>
    <row r="572" spans="1:10" x14ac:dyDescent="0.25">
      <c r="A572" t="s">
        <v>1184</v>
      </c>
      <c r="B572" s="1" t="s">
        <v>393</v>
      </c>
      <c r="C572">
        <v>3.3</v>
      </c>
      <c r="D572" s="72">
        <f>PRODUCTOS[[#This Row],[V/U VENTA]]*PRODUCTOS[[#This Row],[CANTIDAD]]</f>
        <v>0</v>
      </c>
      <c r="E572">
        <v>5</v>
      </c>
      <c r="F572">
        <v>10</v>
      </c>
      <c r="G572">
        <v>0</v>
      </c>
      <c r="H572">
        <v>1</v>
      </c>
      <c r="I572" t="s">
        <v>1319</v>
      </c>
      <c r="J572" s="72">
        <v>0</v>
      </c>
    </row>
    <row r="573" spans="1:10" x14ac:dyDescent="0.25">
      <c r="A573" t="s">
        <v>1185</v>
      </c>
      <c r="B573" s="1" t="s">
        <v>386</v>
      </c>
      <c r="C573">
        <v>5.56</v>
      </c>
      <c r="D573" s="72">
        <f>PRODUCTOS[[#This Row],[V/U VENTA]]*PRODUCTOS[[#This Row],[CANTIDAD]]</f>
        <v>0</v>
      </c>
      <c r="E573">
        <v>5</v>
      </c>
      <c r="F573">
        <v>10</v>
      </c>
      <c r="G573">
        <v>0</v>
      </c>
      <c r="H573">
        <v>1</v>
      </c>
      <c r="I573" t="s">
        <v>1319</v>
      </c>
      <c r="J573" s="72">
        <v>0</v>
      </c>
    </row>
    <row r="574" spans="1:10" x14ac:dyDescent="0.25">
      <c r="A574" t="s">
        <v>1186</v>
      </c>
      <c r="B574" s="1" t="s">
        <v>310</v>
      </c>
      <c r="C574">
        <v>5.4</v>
      </c>
      <c r="D574" s="72">
        <f>PRODUCTOS[[#This Row],[V/U VENTA]]*PRODUCTOS[[#This Row],[CANTIDAD]]</f>
        <v>0</v>
      </c>
      <c r="E574">
        <v>5</v>
      </c>
      <c r="F574">
        <v>10</v>
      </c>
      <c r="G574">
        <v>0</v>
      </c>
      <c r="H574">
        <v>1</v>
      </c>
      <c r="I574" t="s">
        <v>1319</v>
      </c>
      <c r="J574" s="72">
        <v>0</v>
      </c>
    </row>
    <row r="575" spans="1:10" x14ac:dyDescent="0.25">
      <c r="A575" t="s">
        <v>1187</v>
      </c>
      <c r="B575" s="1" t="s">
        <v>1501</v>
      </c>
      <c r="C575">
        <v>0.85</v>
      </c>
      <c r="D575" s="72">
        <f>PRODUCTOS[[#This Row],[V/U VENTA]]*PRODUCTOS[[#This Row],[CANTIDAD]]</f>
        <v>0</v>
      </c>
      <c r="E575">
        <v>5</v>
      </c>
      <c r="F575">
        <v>10</v>
      </c>
      <c r="G575">
        <v>0</v>
      </c>
      <c r="H575">
        <v>1</v>
      </c>
      <c r="I575" t="s">
        <v>1319</v>
      </c>
      <c r="J575" s="72">
        <v>0</v>
      </c>
    </row>
    <row r="576" spans="1:10" x14ac:dyDescent="0.25">
      <c r="A576" t="s">
        <v>1188</v>
      </c>
      <c r="B576" s="1" t="s">
        <v>399</v>
      </c>
      <c r="C576">
        <v>9</v>
      </c>
      <c r="D576" s="72">
        <f>PRODUCTOS[[#This Row],[V/U VENTA]]*PRODUCTOS[[#This Row],[CANTIDAD]]</f>
        <v>9</v>
      </c>
      <c r="E576">
        <v>5</v>
      </c>
      <c r="F576">
        <v>10</v>
      </c>
      <c r="G576">
        <v>1</v>
      </c>
      <c r="H576">
        <v>1</v>
      </c>
      <c r="I576" t="s">
        <v>1319</v>
      </c>
      <c r="J576" s="72">
        <v>0</v>
      </c>
    </row>
    <row r="577" spans="1:10" x14ac:dyDescent="0.25">
      <c r="A577" t="s">
        <v>1189</v>
      </c>
      <c r="B577" s="1" t="s">
        <v>379</v>
      </c>
      <c r="C577">
        <v>4.9000000000000004</v>
      </c>
      <c r="D577" s="72">
        <f>PRODUCTOS[[#This Row],[V/U VENTA]]*PRODUCTOS[[#This Row],[CANTIDAD]]</f>
        <v>0</v>
      </c>
      <c r="E577">
        <v>5</v>
      </c>
      <c r="F577">
        <v>10</v>
      </c>
      <c r="G577">
        <v>0</v>
      </c>
      <c r="H577">
        <v>1</v>
      </c>
      <c r="I577" t="s">
        <v>1319</v>
      </c>
      <c r="J577" s="72">
        <v>0</v>
      </c>
    </row>
    <row r="578" spans="1:10" x14ac:dyDescent="0.25">
      <c r="A578" t="s">
        <v>1190</v>
      </c>
      <c r="B578" s="1" t="s">
        <v>378</v>
      </c>
      <c r="C578">
        <v>4.75</v>
      </c>
      <c r="D578" s="72">
        <f>PRODUCTOS[[#This Row],[V/U VENTA]]*PRODUCTOS[[#This Row],[CANTIDAD]]</f>
        <v>42.75</v>
      </c>
      <c r="E578">
        <v>5</v>
      </c>
      <c r="F578">
        <v>10</v>
      </c>
      <c r="G578">
        <v>9</v>
      </c>
      <c r="H578">
        <v>1</v>
      </c>
      <c r="I578" t="s">
        <v>1319</v>
      </c>
      <c r="J578" s="72">
        <v>0</v>
      </c>
    </row>
    <row r="579" spans="1:10" x14ac:dyDescent="0.25">
      <c r="A579" t="s">
        <v>1191</v>
      </c>
      <c r="B579" s="1" t="s">
        <v>380</v>
      </c>
      <c r="C579">
        <v>14.7</v>
      </c>
      <c r="D579" s="72">
        <f>PRODUCTOS[[#This Row],[V/U VENTA]]*PRODUCTOS[[#This Row],[CANTIDAD]]</f>
        <v>0</v>
      </c>
      <c r="E579">
        <v>5</v>
      </c>
      <c r="F579">
        <v>10</v>
      </c>
      <c r="G579">
        <v>0</v>
      </c>
      <c r="H579">
        <v>1</v>
      </c>
      <c r="I579" t="s">
        <v>1319</v>
      </c>
      <c r="J579" s="72">
        <v>0</v>
      </c>
    </row>
    <row r="580" spans="1:10" x14ac:dyDescent="0.25">
      <c r="A580" t="s">
        <v>1192</v>
      </c>
      <c r="B580" s="1" t="s">
        <v>370</v>
      </c>
      <c r="C580">
        <v>0.2</v>
      </c>
      <c r="D580" s="72">
        <f>PRODUCTOS[[#This Row],[V/U VENTA]]*PRODUCTOS[[#This Row],[CANTIDAD]]</f>
        <v>16.600000000000001</v>
      </c>
      <c r="E580">
        <v>5</v>
      </c>
      <c r="F580">
        <v>10</v>
      </c>
      <c r="G580">
        <v>83</v>
      </c>
      <c r="H580">
        <v>1</v>
      </c>
      <c r="I580" t="s">
        <v>1319</v>
      </c>
      <c r="J580" s="72">
        <v>0</v>
      </c>
    </row>
    <row r="581" spans="1:10" x14ac:dyDescent="0.25">
      <c r="A581" t="s">
        <v>1193</v>
      </c>
      <c r="B581" s="1" t="s">
        <v>1796</v>
      </c>
      <c r="C581">
        <v>2</v>
      </c>
      <c r="D581" s="72">
        <f>PRODUCTOS[[#This Row],[V/U VENTA]]*PRODUCTOS[[#This Row],[CANTIDAD]]</f>
        <v>8</v>
      </c>
      <c r="E581">
        <v>5</v>
      </c>
      <c r="F581">
        <v>10</v>
      </c>
      <c r="G581">
        <v>4</v>
      </c>
      <c r="H581">
        <v>1</v>
      </c>
      <c r="I581" t="s">
        <v>1319</v>
      </c>
      <c r="J581" s="72">
        <v>0</v>
      </c>
    </row>
    <row r="582" spans="1:10" x14ac:dyDescent="0.25">
      <c r="A582" t="s">
        <v>1194</v>
      </c>
      <c r="B582" s="1" t="s">
        <v>397</v>
      </c>
      <c r="C582">
        <v>8.35</v>
      </c>
      <c r="D582" s="72">
        <f>PRODUCTOS[[#This Row],[V/U VENTA]]*PRODUCTOS[[#This Row],[CANTIDAD]]</f>
        <v>25.049999999999997</v>
      </c>
      <c r="E582">
        <v>5</v>
      </c>
      <c r="F582">
        <v>10</v>
      </c>
      <c r="G582">
        <v>3</v>
      </c>
      <c r="H582">
        <v>1</v>
      </c>
      <c r="I582" t="s">
        <v>1320</v>
      </c>
      <c r="J582" s="72">
        <v>0</v>
      </c>
    </row>
    <row r="583" spans="1:10" x14ac:dyDescent="0.25">
      <c r="A583" t="s">
        <v>1195</v>
      </c>
      <c r="B583" s="1" t="s">
        <v>401</v>
      </c>
      <c r="C583">
        <v>27.3</v>
      </c>
      <c r="D583" s="72">
        <f>PRODUCTOS[[#This Row],[V/U VENTA]]*PRODUCTOS[[#This Row],[CANTIDAD]]</f>
        <v>27.3</v>
      </c>
      <c r="E583">
        <v>5</v>
      </c>
      <c r="F583">
        <v>10</v>
      </c>
      <c r="G583">
        <v>1</v>
      </c>
      <c r="H583">
        <v>1</v>
      </c>
      <c r="I583" t="s">
        <v>1319</v>
      </c>
      <c r="J583" s="72">
        <v>0</v>
      </c>
    </row>
    <row r="584" spans="1:10" x14ac:dyDescent="0.25">
      <c r="A584" t="s">
        <v>1196</v>
      </c>
      <c r="B584" s="1" t="s">
        <v>402</v>
      </c>
      <c r="C584">
        <v>31.25</v>
      </c>
      <c r="D584" s="72">
        <f>PRODUCTOS[[#This Row],[V/U VENTA]]*PRODUCTOS[[#This Row],[CANTIDAD]]</f>
        <v>0</v>
      </c>
      <c r="E584">
        <v>5</v>
      </c>
      <c r="F584">
        <v>10</v>
      </c>
      <c r="G584">
        <v>0</v>
      </c>
      <c r="H584">
        <v>1</v>
      </c>
      <c r="I584" t="s">
        <v>1319</v>
      </c>
      <c r="J584" s="72">
        <v>0</v>
      </c>
    </row>
    <row r="585" spans="1:10" x14ac:dyDescent="0.25">
      <c r="A585" t="s">
        <v>1197</v>
      </c>
      <c r="B585" s="1" t="s">
        <v>59</v>
      </c>
      <c r="C585">
        <v>0.25</v>
      </c>
      <c r="D585" s="72">
        <f>PRODUCTOS[[#This Row],[V/U VENTA]]*PRODUCTOS[[#This Row],[CANTIDAD]]</f>
        <v>0</v>
      </c>
      <c r="E585">
        <v>5</v>
      </c>
      <c r="F585">
        <v>10</v>
      </c>
      <c r="G585">
        <v>0</v>
      </c>
      <c r="H585">
        <v>1</v>
      </c>
      <c r="I585" t="s">
        <v>1319</v>
      </c>
      <c r="J585" s="72">
        <v>0</v>
      </c>
    </row>
    <row r="586" spans="1:10" x14ac:dyDescent="0.25">
      <c r="A586" t="s">
        <v>1198</v>
      </c>
      <c r="B586" s="1" t="s">
        <v>383</v>
      </c>
      <c r="C586">
        <v>4.08</v>
      </c>
      <c r="D586" s="72">
        <f>PRODUCTOS[[#This Row],[V/U VENTA]]*PRODUCTOS[[#This Row],[CANTIDAD]]</f>
        <v>4.08</v>
      </c>
      <c r="E586">
        <v>5</v>
      </c>
      <c r="F586">
        <v>10</v>
      </c>
      <c r="G586">
        <v>1</v>
      </c>
      <c r="H586">
        <v>1</v>
      </c>
      <c r="I586" t="s">
        <v>1319</v>
      </c>
      <c r="J586" s="72">
        <v>0</v>
      </c>
    </row>
    <row r="587" spans="1:10" x14ac:dyDescent="0.25">
      <c r="A587" t="s">
        <v>1199</v>
      </c>
      <c r="B587" s="1" t="s">
        <v>195</v>
      </c>
      <c r="C587">
        <v>0.3</v>
      </c>
      <c r="D587" s="72">
        <f>PRODUCTOS[[#This Row],[V/U VENTA]]*PRODUCTOS[[#This Row],[CANTIDAD]]</f>
        <v>13.2</v>
      </c>
      <c r="E587">
        <v>5</v>
      </c>
      <c r="F587">
        <v>10</v>
      </c>
      <c r="G587">
        <v>44</v>
      </c>
      <c r="H587">
        <v>1</v>
      </c>
      <c r="I587" t="s">
        <v>1319</v>
      </c>
      <c r="J587" s="72">
        <v>0</v>
      </c>
    </row>
    <row r="588" spans="1:10" x14ac:dyDescent="0.25">
      <c r="A588" t="s">
        <v>1200</v>
      </c>
      <c r="B588" s="1" t="s">
        <v>447</v>
      </c>
      <c r="C588">
        <v>7.9</v>
      </c>
      <c r="D588" s="72">
        <f>PRODUCTOS[[#This Row],[V/U VENTA]]*PRODUCTOS[[#This Row],[CANTIDAD]]</f>
        <v>0</v>
      </c>
      <c r="E588">
        <v>5</v>
      </c>
      <c r="F588">
        <v>10</v>
      </c>
      <c r="G588">
        <v>0</v>
      </c>
      <c r="H588">
        <v>1</v>
      </c>
      <c r="I588" t="s">
        <v>1319</v>
      </c>
      <c r="J588" s="72">
        <v>0</v>
      </c>
    </row>
    <row r="589" spans="1:10" x14ac:dyDescent="0.25">
      <c r="A589" t="s">
        <v>1201</v>
      </c>
      <c r="B589" s="1" t="s">
        <v>1502</v>
      </c>
      <c r="C589">
        <v>6</v>
      </c>
      <c r="D589" s="72">
        <f>PRODUCTOS[[#This Row],[V/U VENTA]]*PRODUCTOS[[#This Row],[CANTIDAD]]</f>
        <v>6</v>
      </c>
      <c r="E589">
        <v>5</v>
      </c>
      <c r="F589">
        <v>10</v>
      </c>
      <c r="G589">
        <v>1</v>
      </c>
      <c r="H589">
        <v>1</v>
      </c>
      <c r="I589" t="s">
        <v>1319</v>
      </c>
      <c r="J589" s="72">
        <v>0</v>
      </c>
    </row>
    <row r="590" spans="1:10" x14ac:dyDescent="0.25">
      <c r="A590" t="s">
        <v>1202</v>
      </c>
      <c r="B590" s="1" t="s">
        <v>1797</v>
      </c>
      <c r="C590">
        <v>0.1</v>
      </c>
      <c r="D590" s="72">
        <f>PRODUCTOS[[#This Row],[V/U VENTA]]*PRODUCTOS[[#This Row],[CANTIDAD]]</f>
        <v>0</v>
      </c>
      <c r="E590">
        <v>5</v>
      </c>
      <c r="F590">
        <v>10</v>
      </c>
      <c r="G590">
        <v>0</v>
      </c>
      <c r="H590">
        <v>1</v>
      </c>
      <c r="I590" t="s">
        <v>1319</v>
      </c>
      <c r="J590" s="72">
        <v>0</v>
      </c>
    </row>
    <row r="591" spans="1:10" x14ac:dyDescent="0.25">
      <c r="A591" t="s">
        <v>1203</v>
      </c>
      <c r="B591" s="1" t="s">
        <v>474</v>
      </c>
      <c r="C591">
        <v>1.5</v>
      </c>
      <c r="D591" s="72">
        <f>PRODUCTOS[[#This Row],[V/U VENTA]]*PRODUCTOS[[#This Row],[CANTIDAD]]</f>
        <v>3</v>
      </c>
      <c r="E591">
        <v>5</v>
      </c>
      <c r="F591">
        <v>10</v>
      </c>
      <c r="G591">
        <v>2</v>
      </c>
      <c r="H591">
        <v>1</v>
      </c>
      <c r="I591" t="s">
        <v>1319</v>
      </c>
      <c r="J591" s="72">
        <v>0</v>
      </c>
    </row>
    <row r="592" spans="1:10" x14ac:dyDescent="0.25">
      <c r="A592" t="s">
        <v>1204</v>
      </c>
      <c r="B592" s="1" t="s">
        <v>1503</v>
      </c>
      <c r="C592">
        <v>2.25</v>
      </c>
      <c r="D592" s="72">
        <f>PRODUCTOS[[#This Row],[V/U VENTA]]*PRODUCTOS[[#This Row],[CANTIDAD]]</f>
        <v>4.5</v>
      </c>
      <c r="E592">
        <v>5</v>
      </c>
      <c r="F592">
        <v>10</v>
      </c>
      <c r="G592">
        <v>2</v>
      </c>
      <c r="H592">
        <v>1</v>
      </c>
      <c r="I592" t="s">
        <v>1319</v>
      </c>
      <c r="J592" s="72">
        <v>0</v>
      </c>
    </row>
    <row r="593" spans="1:10" x14ac:dyDescent="0.25">
      <c r="A593" t="s">
        <v>1205</v>
      </c>
      <c r="B593" s="1" t="s">
        <v>473</v>
      </c>
      <c r="C593">
        <v>3.5</v>
      </c>
      <c r="D593" s="72">
        <f>PRODUCTOS[[#This Row],[V/U VENTA]]*PRODUCTOS[[#This Row],[CANTIDAD]]</f>
        <v>0</v>
      </c>
      <c r="E593">
        <v>5</v>
      </c>
      <c r="F593">
        <v>10</v>
      </c>
      <c r="G593">
        <v>0</v>
      </c>
      <c r="H593">
        <v>1</v>
      </c>
      <c r="I593" t="s">
        <v>1319</v>
      </c>
      <c r="J593" s="72">
        <v>0</v>
      </c>
    </row>
    <row r="594" spans="1:10" x14ac:dyDescent="0.25">
      <c r="A594" t="s">
        <v>1206</v>
      </c>
      <c r="B594" s="1" t="s">
        <v>405</v>
      </c>
      <c r="C594">
        <v>6.05</v>
      </c>
      <c r="D594" s="72">
        <f>PRODUCTOS[[#This Row],[V/U VENTA]]*PRODUCTOS[[#This Row],[CANTIDAD]]</f>
        <v>6.05</v>
      </c>
      <c r="E594">
        <v>5</v>
      </c>
      <c r="F594">
        <v>10</v>
      </c>
      <c r="G594">
        <v>1</v>
      </c>
      <c r="H594">
        <v>1</v>
      </c>
      <c r="I594" t="s">
        <v>1319</v>
      </c>
      <c r="J594" s="72">
        <v>0</v>
      </c>
    </row>
    <row r="595" spans="1:10" x14ac:dyDescent="0.25">
      <c r="A595" t="s">
        <v>1207</v>
      </c>
      <c r="B595" s="1" t="s">
        <v>416</v>
      </c>
      <c r="C595">
        <v>1.8</v>
      </c>
      <c r="D595" s="72">
        <f>PRODUCTOS[[#This Row],[V/U VENTA]]*PRODUCTOS[[#This Row],[CANTIDAD]]</f>
        <v>1.8</v>
      </c>
      <c r="E595">
        <v>5</v>
      </c>
      <c r="F595">
        <v>10</v>
      </c>
      <c r="G595">
        <v>1</v>
      </c>
      <c r="H595">
        <v>1</v>
      </c>
      <c r="I595" t="s">
        <v>1319</v>
      </c>
      <c r="J595" s="72">
        <v>0</v>
      </c>
    </row>
    <row r="596" spans="1:10" x14ac:dyDescent="0.25">
      <c r="A596" t="s">
        <v>1208</v>
      </c>
      <c r="B596" s="1" t="s">
        <v>476</v>
      </c>
      <c r="C596">
        <v>1.25</v>
      </c>
      <c r="D596" s="72">
        <f>PRODUCTOS[[#This Row],[V/U VENTA]]*PRODUCTOS[[#This Row],[CANTIDAD]]</f>
        <v>1.25</v>
      </c>
      <c r="E596">
        <v>5</v>
      </c>
      <c r="F596">
        <v>10</v>
      </c>
      <c r="G596">
        <v>1</v>
      </c>
      <c r="H596">
        <v>1</v>
      </c>
      <c r="I596" t="s">
        <v>1319</v>
      </c>
      <c r="J596" s="72">
        <v>0</v>
      </c>
    </row>
    <row r="597" spans="1:10" x14ac:dyDescent="0.25">
      <c r="A597" t="s">
        <v>1209</v>
      </c>
      <c r="B597" s="1" t="s">
        <v>48</v>
      </c>
      <c r="C597">
        <v>0.3</v>
      </c>
      <c r="D597" s="72">
        <f>PRODUCTOS[[#This Row],[V/U VENTA]]*PRODUCTOS[[#This Row],[CANTIDAD]]</f>
        <v>0</v>
      </c>
      <c r="E597">
        <v>5</v>
      </c>
      <c r="F597">
        <v>10</v>
      </c>
      <c r="G597">
        <v>0</v>
      </c>
      <c r="H597">
        <v>1</v>
      </c>
      <c r="I597" t="s">
        <v>1319</v>
      </c>
      <c r="J597" s="72">
        <v>0</v>
      </c>
    </row>
    <row r="598" spans="1:10" x14ac:dyDescent="0.25">
      <c r="A598" t="s">
        <v>1210</v>
      </c>
      <c r="B598" s="1" t="s">
        <v>481</v>
      </c>
      <c r="C598">
        <v>2</v>
      </c>
      <c r="D598" s="72">
        <f>PRODUCTOS[[#This Row],[V/U VENTA]]*PRODUCTOS[[#This Row],[CANTIDAD]]</f>
        <v>60</v>
      </c>
      <c r="E598">
        <v>5</v>
      </c>
      <c r="F598">
        <v>10</v>
      </c>
      <c r="G598">
        <v>30</v>
      </c>
      <c r="H598">
        <v>1</v>
      </c>
      <c r="I598" t="s">
        <v>1319</v>
      </c>
      <c r="J598" s="72">
        <v>0</v>
      </c>
    </row>
    <row r="599" spans="1:10" x14ac:dyDescent="0.25">
      <c r="A599" t="s">
        <v>1211</v>
      </c>
      <c r="B599" s="1" t="s">
        <v>309</v>
      </c>
      <c r="C599">
        <v>2.8</v>
      </c>
      <c r="D599" s="72">
        <f>PRODUCTOS[[#This Row],[V/U VENTA]]*PRODUCTOS[[#This Row],[CANTIDAD]]</f>
        <v>0</v>
      </c>
      <c r="E599">
        <v>5</v>
      </c>
      <c r="F599">
        <v>10</v>
      </c>
      <c r="G599">
        <v>0</v>
      </c>
      <c r="H599">
        <v>1</v>
      </c>
      <c r="I599" t="s">
        <v>1319</v>
      </c>
      <c r="J599" s="72">
        <v>0</v>
      </c>
    </row>
    <row r="600" spans="1:10" x14ac:dyDescent="0.25">
      <c r="A600" t="s">
        <v>1212</v>
      </c>
      <c r="B600" s="1" t="s">
        <v>50</v>
      </c>
      <c r="C600">
        <v>0.5</v>
      </c>
      <c r="D600" s="72">
        <f>PRODUCTOS[[#This Row],[V/U VENTA]]*PRODUCTOS[[#This Row],[CANTIDAD]]</f>
        <v>0</v>
      </c>
      <c r="E600">
        <v>5</v>
      </c>
      <c r="F600">
        <v>10</v>
      </c>
      <c r="G600"/>
      <c r="H600">
        <v>1</v>
      </c>
      <c r="I600" t="s">
        <v>1319</v>
      </c>
      <c r="J600" s="72">
        <v>0</v>
      </c>
    </row>
    <row r="601" spans="1:10" x14ac:dyDescent="0.25">
      <c r="A601" t="s">
        <v>1213</v>
      </c>
      <c r="B601" s="1" t="s">
        <v>226</v>
      </c>
      <c r="C601">
        <v>8.18</v>
      </c>
      <c r="D601" s="72">
        <f>PRODUCTOS[[#This Row],[V/U VENTA]]*PRODUCTOS[[#This Row],[CANTIDAD]]</f>
        <v>0</v>
      </c>
      <c r="E601">
        <v>5</v>
      </c>
      <c r="F601">
        <v>10</v>
      </c>
      <c r="G601">
        <v>0</v>
      </c>
      <c r="H601">
        <v>1</v>
      </c>
      <c r="I601" t="s">
        <v>1319</v>
      </c>
      <c r="J601" s="72">
        <v>0</v>
      </c>
    </row>
    <row r="602" spans="1:10" x14ac:dyDescent="0.25">
      <c r="A602" t="s">
        <v>1214</v>
      </c>
      <c r="B602" s="1" t="s">
        <v>1504</v>
      </c>
      <c r="C602">
        <v>9</v>
      </c>
      <c r="D602" s="72">
        <f>PRODUCTOS[[#This Row],[V/U VENTA]]*PRODUCTOS[[#This Row],[CANTIDAD]]</f>
        <v>18</v>
      </c>
      <c r="E602">
        <v>5</v>
      </c>
      <c r="F602">
        <v>10</v>
      </c>
      <c r="G602">
        <v>2</v>
      </c>
      <c r="H602">
        <v>1</v>
      </c>
      <c r="I602" t="s">
        <v>1319</v>
      </c>
      <c r="J602" s="72">
        <v>0</v>
      </c>
    </row>
    <row r="603" spans="1:10" x14ac:dyDescent="0.25">
      <c r="A603" t="s">
        <v>1215</v>
      </c>
      <c r="B603" s="1" t="s">
        <v>1505</v>
      </c>
      <c r="C603">
        <v>0.4</v>
      </c>
      <c r="D603" s="72">
        <f>PRODUCTOS[[#This Row],[V/U VENTA]]*PRODUCTOS[[#This Row],[CANTIDAD]]</f>
        <v>32.800000000000004</v>
      </c>
      <c r="E603">
        <v>5</v>
      </c>
      <c r="F603">
        <v>10</v>
      </c>
      <c r="G603">
        <v>82</v>
      </c>
      <c r="H603">
        <v>1</v>
      </c>
      <c r="I603" t="s">
        <v>1319</v>
      </c>
      <c r="J603" s="72">
        <v>0</v>
      </c>
    </row>
    <row r="604" spans="1:10" x14ac:dyDescent="0.25">
      <c r="A604" t="s">
        <v>1216</v>
      </c>
      <c r="B604" s="1" t="s">
        <v>1506</v>
      </c>
      <c r="C604">
        <v>5</v>
      </c>
      <c r="D604" s="72">
        <f>PRODUCTOS[[#This Row],[V/U VENTA]]*PRODUCTOS[[#This Row],[CANTIDAD]]</f>
        <v>20</v>
      </c>
      <c r="E604">
        <v>5</v>
      </c>
      <c r="F604">
        <v>10</v>
      </c>
      <c r="G604">
        <v>4</v>
      </c>
      <c r="H604">
        <v>1</v>
      </c>
      <c r="I604" t="s">
        <v>1319</v>
      </c>
      <c r="J604" s="72">
        <v>0</v>
      </c>
    </row>
    <row r="605" spans="1:10" x14ac:dyDescent="0.25">
      <c r="A605" t="s">
        <v>1217</v>
      </c>
      <c r="B605" s="1" t="s">
        <v>282</v>
      </c>
      <c r="C605">
        <v>0.35</v>
      </c>
      <c r="D605" s="72">
        <f>PRODUCTOS[[#This Row],[V/U VENTA]]*PRODUCTOS[[#This Row],[CANTIDAD]]</f>
        <v>0</v>
      </c>
      <c r="E605">
        <v>5</v>
      </c>
      <c r="F605">
        <v>10</v>
      </c>
      <c r="G605">
        <v>0</v>
      </c>
      <c r="H605">
        <v>1</v>
      </c>
      <c r="I605" t="s">
        <v>1319</v>
      </c>
      <c r="J605" s="72">
        <v>0</v>
      </c>
    </row>
    <row r="606" spans="1:10" x14ac:dyDescent="0.25">
      <c r="A606" t="s">
        <v>1218</v>
      </c>
      <c r="B606" s="1" t="s">
        <v>283</v>
      </c>
      <c r="C606">
        <v>0.7</v>
      </c>
      <c r="D606" s="72">
        <f>PRODUCTOS[[#This Row],[V/U VENTA]]*PRODUCTOS[[#This Row],[CANTIDAD]]</f>
        <v>31.499999999999996</v>
      </c>
      <c r="E606">
        <v>5</v>
      </c>
      <c r="F606">
        <v>10</v>
      </c>
      <c r="G606">
        <v>45</v>
      </c>
      <c r="H606">
        <v>1</v>
      </c>
      <c r="I606" t="s">
        <v>1319</v>
      </c>
      <c r="J606" s="72">
        <v>0</v>
      </c>
    </row>
    <row r="607" spans="1:10" x14ac:dyDescent="0.25">
      <c r="A607" t="s">
        <v>1219</v>
      </c>
      <c r="B607" s="1" t="s">
        <v>1507</v>
      </c>
      <c r="C607">
        <v>2.7</v>
      </c>
      <c r="D607" s="72">
        <f>PRODUCTOS[[#This Row],[V/U VENTA]]*PRODUCTOS[[#This Row],[CANTIDAD]]</f>
        <v>2.7</v>
      </c>
      <c r="E607">
        <v>5</v>
      </c>
      <c r="F607">
        <v>10</v>
      </c>
      <c r="G607">
        <v>1</v>
      </c>
      <c r="H607">
        <v>1</v>
      </c>
      <c r="I607" t="s">
        <v>1319</v>
      </c>
      <c r="J607" s="72">
        <v>0</v>
      </c>
    </row>
    <row r="608" spans="1:10" x14ac:dyDescent="0.25">
      <c r="A608" t="s">
        <v>1220</v>
      </c>
      <c r="B608" s="1" t="s">
        <v>258</v>
      </c>
      <c r="C608">
        <v>0.2</v>
      </c>
      <c r="D608" s="72">
        <f>PRODUCTOS[[#This Row],[V/U VENTA]]*PRODUCTOS[[#This Row],[CANTIDAD]]</f>
        <v>26</v>
      </c>
      <c r="E608">
        <v>5</v>
      </c>
      <c r="F608">
        <v>10</v>
      </c>
      <c r="G608">
        <v>130</v>
      </c>
      <c r="H608">
        <v>1</v>
      </c>
      <c r="I608" t="s">
        <v>1320</v>
      </c>
      <c r="J608" s="72">
        <v>0</v>
      </c>
    </row>
    <row r="609" spans="1:10" x14ac:dyDescent="0.25">
      <c r="A609" t="s">
        <v>1221</v>
      </c>
      <c r="B609" s="1" t="s">
        <v>1798</v>
      </c>
      <c r="C609">
        <v>5</v>
      </c>
      <c r="D609" s="72">
        <f>PRODUCTOS[[#This Row],[V/U VENTA]]*PRODUCTOS[[#This Row],[CANTIDAD]]</f>
        <v>10</v>
      </c>
      <c r="E609">
        <v>5</v>
      </c>
      <c r="F609">
        <v>10</v>
      </c>
      <c r="G609">
        <v>2</v>
      </c>
      <c r="H609">
        <v>1</v>
      </c>
      <c r="I609" t="s">
        <v>1319</v>
      </c>
      <c r="J609" s="72">
        <v>0</v>
      </c>
    </row>
    <row r="610" spans="1:10" x14ac:dyDescent="0.25">
      <c r="A610" t="s">
        <v>1222</v>
      </c>
      <c r="B610" s="1" t="s">
        <v>471</v>
      </c>
      <c r="C610">
        <v>3</v>
      </c>
      <c r="D610" s="72">
        <f>PRODUCTOS[[#This Row],[V/U VENTA]]*PRODUCTOS[[#This Row],[CANTIDAD]]</f>
        <v>3</v>
      </c>
      <c r="E610">
        <v>5</v>
      </c>
      <c r="F610">
        <v>10</v>
      </c>
      <c r="G610">
        <v>1</v>
      </c>
      <c r="H610">
        <v>1</v>
      </c>
      <c r="I610" t="s">
        <v>1319</v>
      </c>
      <c r="J610" s="72">
        <v>0</v>
      </c>
    </row>
    <row r="611" spans="1:10" x14ac:dyDescent="0.25">
      <c r="A611" t="s">
        <v>1223</v>
      </c>
      <c r="B611" s="1" t="s">
        <v>1508</v>
      </c>
      <c r="C611">
        <v>0.45</v>
      </c>
      <c r="D611" s="72">
        <f>PRODUCTOS[[#This Row],[V/U VENTA]]*PRODUCTOS[[#This Row],[CANTIDAD]]</f>
        <v>10.35</v>
      </c>
      <c r="E611">
        <v>5</v>
      </c>
      <c r="F611">
        <v>10</v>
      </c>
      <c r="G611">
        <v>23</v>
      </c>
      <c r="H611">
        <v>1</v>
      </c>
      <c r="I611" t="s">
        <v>1319</v>
      </c>
      <c r="J611" s="72">
        <v>0</v>
      </c>
    </row>
    <row r="612" spans="1:10" x14ac:dyDescent="0.25">
      <c r="A612" t="s">
        <v>1224</v>
      </c>
      <c r="B612" s="1" t="s">
        <v>1509</v>
      </c>
      <c r="C612">
        <v>4.76</v>
      </c>
      <c r="D612" s="72">
        <f>PRODUCTOS[[#This Row],[V/U VENTA]]*PRODUCTOS[[#This Row],[CANTIDAD]]</f>
        <v>0</v>
      </c>
      <c r="E612">
        <v>5</v>
      </c>
      <c r="F612">
        <v>10</v>
      </c>
      <c r="G612">
        <v>0</v>
      </c>
      <c r="H612">
        <v>1</v>
      </c>
      <c r="I612" t="s">
        <v>1319</v>
      </c>
      <c r="J612" s="72">
        <v>0</v>
      </c>
    </row>
    <row r="613" spans="1:10" x14ac:dyDescent="0.25">
      <c r="A613" t="s">
        <v>1225</v>
      </c>
      <c r="B613" s="1" t="s">
        <v>324</v>
      </c>
      <c r="C613">
        <v>4.76</v>
      </c>
      <c r="D613" s="72">
        <f>PRODUCTOS[[#This Row],[V/U VENTA]]*PRODUCTOS[[#This Row],[CANTIDAD]]</f>
        <v>4.76</v>
      </c>
      <c r="E613">
        <v>5</v>
      </c>
      <c r="F613">
        <v>10</v>
      </c>
      <c r="G613">
        <v>1</v>
      </c>
      <c r="H613">
        <v>1</v>
      </c>
      <c r="I613" t="s">
        <v>1319</v>
      </c>
      <c r="J613" s="72">
        <v>0</v>
      </c>
    </row>
    <row r="614" spans="1:10" x14ac:dyDescent="0.25">
      <c r="A614" t="s">
        <v>1226</v>
      </c>
      <c r="B614" s="1" t="s">
        <v>327</v>
      </c>
      <c r="C614">
        <v>5.88</v>
      </c>
      <c r="D614" s="72">
        <f>PRODUCTOS[[#This Row],[V/U VENTA]]*PRODUCTOS[[#This Row],[CANTIDAD]]</f>
        <v>0</v>
      </c>
      <c r="E614">
        <v>5</v>
      </c>
      <c r="F614">
        <v>10</v>
      </c>
      <c r="G614">
        <v>0</v>
      </c>
      <c r="H614">
        <v>1</v>
      </c>
      <c r="I614" t="s">
        <v>1319</v>
      </c>
      <c r="J614" s="72">
        <v>0</v>
      </c>
    </row>
    <row r="615" spans="1:10" x14ac:dyDescent="0.25">
      <c r="A615" t="s">
        <v>1227</v>
      </c>
      <c r="B615" s="1" t="s">
        <v>326</v>
      </c>
      <c r="C615">
        <v>15.17</v>
      </c>
      <c r="D615" s="72">
        <f>PRODUCTOS[[#This Row],[V/U VENTA]]*PRODUCTOS[[#This Row],[CANTIDAD]]</f>
        <v>30.34</v>
      </c>
      <c r="E615">
        <v>5</v>
      </c>
      <c r="F615">
        <v>10</v>
      </c>
      <c r="G615">
        <v>2</v>
      </c>
      <c r="H615">
        <v>1</v>
      </c>
      <c r="I615" t="s">
        <v>1319</v>
      </c>
      <c r="J615" s="72">
        <v>0</v>
      </c>
    </row>
    <row r="616" spans="1:10" x14ac:dyDescent="0.25">
      <c r="A616" t="s">
        <v>1228</v>
      </c>
      <c r="B616" s="1" t="s">
        <v>328</v>
      </c>
      <c r="C616">
        <v>5.88</v>
      </c>
      <c r="D616" s="72">
        <f>PRODUCTOS[[#This Row],[V/U VENTA]]*PRODUCTOS[[#This Row],[CANTIDAD]]</f>
        <v>5.88</v>
      </c>
      <c r="E616">
        <v>5</v>
      </c>
      <c r="F616">
        <v>10</v>
      </c>
      <c r="G616">
        <v>1</v>
      </c>
      <c r="H616">
        <v>1</v>
      </c>
      <c r="I616" t="s">
        <v>1319</v>
      </c>
      <c r="J616" s="72">
        <v>0</v>
      </c>
    </row>
    <row r="617" spans="1:10" x14ac:dyDescent="0.25">
      <c r="A617" t="s">
        <v>1229</v>
      </c>
      <c r="B617" s="1" t="s">
        <v>325</v>
      </c>
      <c r="C617">
        <v>14.9</v>
      </c>
      <c r="D617" s="72">
        <f>PRODUCTOS[[#This Row],[V/U VENTA]]*PRODUCTOS[[#This Row],[CANTIDAD]]</f>
        <v>14.9</v>
      </c>
      <c r="E617">
        <v>5</v>
      </c>
      <c r="F617">
        <v>10</v>
      </c>
      <c r="G617">
        <v>1</v>
      </c>
      <c r="H617">
        <v>1</v>
      </c>
      <c r="I617" t="s">
        <v>1319</v>
      </c>
      <c r="J617" s="72">
        <v>0</v>
      </c>
    </row>
    <row r="618" spans="1:10" x14ac:dyDescent="0.25">
      <c r="A618" t="s">
        <v>1230</v>
      </c>
      <c r="B618" s="1" t="s">
        <v>329</v>
      </c>
      <c r="C618">
        <v>14.21</v>
      </c>
      <c r="D618" s="72">
        <f>PRODUCTOS[[#This Row],[V/U VENTA]]*PRODUCTOS[[#This Row],[CANTIDAD]]</f>
        <v>14.21</v>
      </c>
      <c r="E618">
        <v>5</v>
      </c>
      <c r="F618">
        <v>10</v>
      </c>
      <c r="G618">
        <v>1</v>
      </c>
      <c r="H618">
        <v>1</v>
      </c>
      <c r="I618" t="s">
        <v>1319</v>
      </c>
      <c r="J618" s="72">
        <v>0</v>
      </c>
    </row>
    <row r="619" spans="1:10" x14ac:dyDescent="0.25">
      <c r="A619" t="s">
        <v>1231</v>
      </c>
      <c r="B619" s="1" t="s">
        <v>330</v>
      </c>
      <c r="C619">
        <v>13.9</v>
      </c>
      <c r="D619" s="72">
        <f>PRODUCTOS[[#This Row],[V/U VENTA]]*PRODUCTOS[[#This Row],[CANTIDAD]]</f>
        <v>0</v>
      </c>
      <c r="E619">
        <v>5</v>
      </c>
      <c r="F619">
        <v>10</v>
      </c>
      <c r="G619">
        <v>0</v>
      </c>
      <c r="H619">
        <v>1</v>
      </c>
      <c r="I619" t="s">
        <v>1319</v>
      </c>
      <c r="J619" s="72">
        <v>0</v>
      </c>
    </row>
    <row r="620" spans="1:10" x14ac:dyDescent="0.25">
      <c r="A620" t="s">
        <v>1232</v>
      </c>
      <c r="B620" s="1" t="s">
        <v>1510</v>
      </c>
      <c r="C620" s="4">
        <v>1.5</v>
      </c>
      <c r="D620" s="72">
        <f>PRODUCTOS[[#This Row],[V/U VENTA]]*PRODUCTOS[[#This Row],[CANTIDAD]]</f>
        <v>0</v>
      </c>
      <c r="E620">
        <v>5</v>
      </c>
      <c r="F620">
        <v>10</v>
      </c>
      <c r="G620">
        <v>0</v>
      </c>
      <c r="H620">
        <v>1</v>
      </c>
      <c r="I620" t="s">
        <v>1319</v>
      </c>
      <c r="J620" s="72">
        <v>0</v>
      </c>
    </row>
    <row r="621" spans="1:10" x14ac:dyDescent="0.25">
      <c r="A621" t="s">
        <v>1233</v>
      </c>
      <c r="B621" s="1" t="s">
        <v>414</v>
      </c>
      <c r="C621">
        <v>1.25</v>
      </c>
      <c r="D621" s="72">
        <f>PRODUCTOS[[#This Row],[V/U VENTA]]*PRODUCTOS[[#This Row],[CANTIDAD]]</f>
        <v>0</v>
      </c>
      <c r="E621">
        <v>5</v>
      </c>
      <c r="F621">
        <v>10</v>
      </c>
      <c r="G621">
        <v>0</v>
      </c>
      <c r="H621">
        <v>1</v>
      </c>
      <c r="I621" t="s">
        <v>1319</v>
      </c>
      <c r="J621" s="72">
        <v>0</v>
      </c>
    </row>
    <row r="622" spans="1:10" x14ac:dyDescent="0.25">
      <c r="A622" t="s">
        <v>1234</v>
      </c>
      <c r="B622" s="1" t="s">
        <v>563</v>
      </c>
      <c r="C622">
        <v>2.5</v>
      </c>
      <c r="D622" s="72">
        <f>PRODUCTOS[[#This Row],[V/U VENTA]]*PRODUCTOS[[#This Row],[CANTIDAD]]</f>
        <v>0</v>
      </c>
      <c r="E622">
        <v>5</v>
      </c>
      <c r="F622">
        <v>10</v>
      </c>
      <c r="G622">
        <v>0</v>
      </c>
      <c r="H622">
        <v>1</v>
      </c>
      <c r="I622" t="s">
        <v>1319</v>
      </c>
      <c r="J622" s="72">
        <v>0</v>
      </c>
    </row>
    <row r="623" spans="1:10" x14ac:dyDescent="0.25">
      <c r="A623" t="s">
        <v>1235</v>
      </c>
      <c r="B623" s="1" t="s">
        <v>1799</v>
      </c>
      <c r="C623">
        <v>2.5</v>
      </c>
      <c r="D623" s="72">
        <f>PRODUCTOS[[#This Row],[V/U VENTA]]*PRODUCTOS[[#This Row],[CANTIDAD]]</f>
        <v>2.5</v>
      </c>
      <c r="E623">
        <v>5</v>
      </c>
      <c r="F623">
        <v>10</v>
      </c>
      <c r="G623">
        <v>1</v>
      </c>
      <c r="H623">
        <v>1</v>
      </c>
      <c r="I623" t="s">
        <v>1319</v>
      </c>
      <c r="J623" s="72">
        <v>0</v>
      </c>
    </row>
    <row r="624" spans="1:10" x14ac:dyDescent="0.25">
      <c r="A624" t="s">
        <v>1236</v>
      </c>
      <c r="B624" s="1" t="s">
        <v>415</v>
      </c>
      <c r="C624">
        <v>2.5</v>
      </c>
      <c r="D624" s="72">
        <f>PRODUCTOS[[#This Row],[V/U VENTA]]*PRODUCTOS[[#This Row],[CANTIDAD]]</f>
        <v>2.5</v>
      </c>
      <c r="E624">
        <v>5</v>
      </c>
      <c r="F624">
        <v>10</v>
      </c>
      <c r="G624">
        <v>1</v>
      </c>
      <c r="H624">
        <v>1</v>
      </c>
      <c r="I624" t="s">
        <v>1319</v>
      </c>
      <c r="J624" s="72">
        <v>0</v>
      </c>
    </row>
    <row r="625" spans="1:10" x14ac:dyDescent="0.25">
      <c r="A625" t="s">
        <v>1237</v>
      </c>
      <c r="B625" s="1" t="s">
        <v>367</v>
      </c>
      <c r="C625">
        <v>1.4</v>
      </c>
      <c r="D625" s="72">
        <f>PRODUCTOS[[#This Row],[V/U VENTA]]*PRODUCTOS[[#This Row],[CANTIDAD]]</f>
        <v>0</v>
      </c>
      <c r="E625">
        <v>5</v>
      </c>
      <c r="F625">
        <v>10</v>
      </c>
      <c r="G625">
        <v>0</v>
      </c>
      <c r="H625">
        <v>1</v>
      </c>
      <c r="I625" t="s">
        <v>1319</v>
      </c>
      <c r="J625" s="72">
        <v>0</v>
      </c>
    </row>
    <row r="626" spans="1:10" x14ac:dyDescent="0.25">
      <c r="A626" t="s">
        <v>1238</v>
      </c>
      <c r="B626" s="1" t="s">
        <v>1511</v>
      </c>
      <c r="C626">
        <v>1</v>
      </c>
      <c r="D626" s="72">
        <f>PRODUCTOS[[#This Row],[V/U VENTA]]*PRODUCTOS[[#This Row],[CANTIDAD]]</f>
        <v>0</v>
      </c>
      <c r="E626">
        <v>5</v>
      </c>
      <c r="F626">
        <v>10</v>
      </c>
      <c r="G626">
        <v>0</v>
      </c>
      <c r="H626">
        <v>1</v>
      </c>
      <c r="I626" t="s">
        <v>1319</v>
      </c>
      <c r="J626" s="72">
        <v>0</v>
      </c>
    </row>
    <row r="627" spans="1:10" x14ac:dyDescent="0.25">
      <c r="A627" t="s">
        <v>1239</v>
      </c>
      <c r="B627" s="1" t="s">
        <v>1512</v>
      </c>
      <c r="C627">
        <v>0.5</v>
      </c>
      <c r="D627" s="72">
        <f>PRODUCTOS[[#This Row],[V/U VENTA]]*PRODUCTOS[[#This Row],[CANTIDAD]]</f>
        <v>1.5</v>
      </c>
      <c r="E627">
        <v>5</v>
      </c>
      <c r="F627">
        <v>10</v>
      </c>
      <c r="G627">
        <v>3</v>
      </c>
      <c r="H627">
        <v>1</v>
      </c>
      <c r="I627" t="s">
        <v>1319</v>
      </c>
      <c r="J627" s="72">
        <v>0</v>
      </c>
    </row>
    <row r="628" spans="1:10" x14ac:dyDescent="0.25">
      <c r="A628" t="s">
        <v>1240</v>
      </c>
      <c r="B628" s="1" t="s">
        <v>1513</v>
      </c>
      <c r="C628">
        <v>1.9</v>
      </c>
      <c r="D628" s="72">
        <f>PRODUCTOS[[#This Row],[V/U VENTA]]*PRODUCTOS[[#This Row],[CANTIDAD]]</f>
        <v>15.2</v>
      </c>
      <c r="E628">
        <v>5</v>
      </c>
      <c r="F628">
        <v>10</v>
      </c>
      <c r="G628">
        <v>8</v>
      </c>
      <c r="H628">
        <v>1</v>
      </c>
      <c r="I628" t="s">
        <v>1319</v>
      </c>
      <c r="J628" s="72">
        <v>0</v>
      </c>
    </row>
    <row r="629" spans="1:10" x14ac:dyDescent="0.25">
      <c r="A629" t="s">
        <v>1241</v>
      </c>
      <c r="B629" s="1" t="s">
        <v>582</v>
      </c>
      <c r="C629">
        <v>4</v>
      </c>
      <c r="D629" s="72">
        <f>PRODUCTOS[[#This Row],[V/U VENTA]]*PRODUCTOS[[#This Row],[CANTIDAD]]</f>
        <v>8</v>
      </c>
      <c r="E629">
        <v>5</v>
      </c>
      <c r="F629">
        <v>10</v>
      </c>
      <c r="G629">
        <v>2</v>
      </c>
      <c r="H629">
        <v>1</v>
      </c>
      <c r="I629" t="s">
        <v>1319</v>
      </c>
      <c r="J629" s="72">
        <v>0</v>
      </c>
    </row>
    <row r="630" spans="1:10" x14ac:dyDescent="0.25">
      <c r="A630" t="s">
        <v>1242</v>
      </c>
      <c r="B630" s="1" t="s">
        <v>278</v>
      </c>
      <c r="C630">
        <v>0.1</v>
      </c>
      <c r="D630" s="72">
        <f>PRODUCTOS[[#This Row],[V/U VENTA]]*PRODUCTOS[[#This Row],[CANTIDAD]]</f>
        <v>4.2</v>
      </c>
      <c r="E630">
        <v>5</v>
      </c>
      <c r="F630">
        <v>10</v>
      </c>
      <c r="G630">
        <v>42</v>
      </c>
      <c r="H630">
        <v>1</v>
      </c>
      <c r="I630" t="s">
        <v>1319</v>
      </c>
      <c r="J630" s="72">
        <v>0</v>
      </c>
    </row>
    <row r="631" spans="1:10" x14ac:dyDescent="0.25">
      <c r="A631" t="s">
        <v>1243</v>
      </c>
      <c r="B631" s="1" t="s">
        <v>434</v>
      </c>
      <c r="C631">
        <v>1</v>
      </c>
      <c r="D631" s="72">
        <f>PRODUCTOS[[#This Row],[V/U VENTA]]*PRODUCTOS[[#This Row],[CANTIDAD]]</f>
        <v>2</v>
      </c>
      <c r="E631">
        <v>5</v>
      </c>
      <c r="F631">
        <v>10</v>
      </c>
      <c r="G631">
        <v>2</v>
      </c>
      <c r="H631">
        <v>1</v>
      </c>
      <c r="I631" t="s">
        <v>1319</v>
      </c>
      <c r="J631" s="72">
        <v>0</v>
      </c>
    </row>
    <row r="632" spans="1:10" x14ac:dyDescent="0.25">
      <c r="A632" t="s">
        <v>1244</v>
      </c>
      <c r="B632" s="1" t="s">
        <v>1800</v>
      </c>
      <c r="C632">
        <v>1.5</v>
      </c>
      <c r="D632" s="72">
        <f>PRODUCTOS[[#This Row],[V/U VENTA]]*PRODUCTOS[[#This Row],[CANTIDAD]]</f>
        <v>1.5</v>
      </c>
      <c r="E632">
        <v>5</v>
      </c>
      <c r="F632">
        <v>10</v>
      </c>
      <c r="G632">
        <v>1</v>
      </c>
      <c r="H632">
        <v>1</v>
      </c>
      <c r="I632" t="s">
        <v>1319</v>
      </c>
      <c r="J632" s="72">
        <v>0</v>
      </c>
    </row>
    <row r="633" spans="1:10" x14ac:dyDescent="0.25">
      <c r="A633" t="s">
        <v>1245</v>
      </c>
      <c r="B633" s="1" t="s">
        <v>1514</v>
      </c>
      <c r="C633">
        <v>1.5</v>
      </c>
      <c r="D633" s="72">
        <f>PRODUCTOS[[#This Row],[V/U VENTA]]*PRODUCTOS[[#This Row],[CANTIDAD]]</f>
        <v>4.5</v>
      </c>
      <c r="E633">
        <v>5</v>
      </c>
      <c r="F633">
        <v>10</v>
      </c>
      <c r="G633">
        <v>3</v>
      </c>
      <c r="H633">
        <v>1</v>
      </c>
      <c r="I633" t="s">
        <v>1319</v>
      </c>
      <c r="J633" s="72">
        <v>0</v>
      </c>
    </row>
    <row r="634" spans="1:10" x14ac:dyDescent="0.25">
      <c r="A634" t="s">
        <v>1246</v>
      </c>
      <c r="B634" s="1" t="s">
        <v>433</v>
      </c>
      <c r="C634">
        <v>3.8</v>
      </c>
      <c r="D634" s="72">
        <f>PRODUCTOS[[#This Row],[V/U VENTA]]*PRODUCTOS[[#This Row],[CANTIDAD]]</f>
        <v>3.8</v>
      </c>
      <c r="E634">
        <v>5</v>
      </c>
      <c r="F634">
        <v>10</v>
      </c>
      <c r="G634">
        <v>1</v>
      </c>
      <c r="H634">
        <v>1</v>
      </c>
      <c r="I634" t="s">
        <v>1319</v>
      </c>
      <c r="J634" s="72">
        <v>0</v>
      </c>
    </row>
    <row r="635" spans="1:10" x14ac:dyDescent="0.25">
      <c r="A635" t="s">
        <v>1247</v>
      </c>
      <c r="B635" s="1" t="s">
        <v>435</v>
      </c>
      <c r="C635">
        <v>5.78</v>
      </c>
      <c r="D635" s="72">
        <f>PRODUCTOS[[#This Row],[V/U VENTA]]*PRODUCTOS[[#This Row],[CANTIDAD]]</f>
        <v>5.78</v>
      </c>
      <c r="E635">
        <v>5</v>
      </c>
      <c r="F635">
        <v>10</v>
      </c>
      <c r="G635">
        <v>1</v>
      </c>
      <c r="H635">
        <v>1</v>
      </c>
      <c r="I635" t="s">
        <v>1319</v>
      </c>
      <c r="J635" s="72">
        <v>0</v>
      </c>
    </row>
    <row r="636" spans="1:10" x14ac:dyDescent="0.25">
      <c r="A636" t="s">
        <v>1248</v>
      </c>
      <c r="B636" s="1" t="s">
        <v>336</v>
      </c>
      <c r="C636">
        <v>3.5</v>
      </c>
      <c r="D636" s="72">
        <f>PRODUCTOS[[#This Row],[V/U VENTA]]*PRODUCTOS[[#This Row],[CANTIDAD]]</f>
        <v>0</v>
      </c>
      <c r="E636">
        <v>5</v>
      </c>
      <c r="F636">
        <v>10</v>
      </c>
      <c r="G636">
        <v>0</v>
      </c>
      <c r="H636">
        <v>1</v>
      </c>
      <c r="I636" t="s">
        <v>1319</v>
      </c>
      <c r="J636" s="72">
        <v>0</v>
      </c>
    </row>
    <row r="637" spans="1:10" x14ac:dyDescent="0.25">
      <c r="A637" t="s">
        <v>1249</v>
      </c>
      <c r="B637" s="1" t="s">
        <v>1515</v>
      </c>
      <c r="C637">
        <v>3.5</v>
      </c>
      <c r="D637" s="72">
        <f>PRODUCTOS[[#This Row],[V/U VENTA]]*PRODUCTOS[[#This Row],[CANTIDAD]]</f>
        <v>0</v>
      </c>
      <c r="E637">
        <v>5</v>
      </c>
      <c r="F637">
        <v>10</v>
      </c>
      <c r="G637">
        <v>0</v>
      </c>
      <c r="H637">
        <v>1</v>
      </c>
      <c r="I637" t="s">
        <v>1319</v>
      </c>
      <c r="J637" s="72">
        <v>0</v>
      </c>
    </row>
    <row r="638" spans="1:10" x14ac:dyDescent="0.25">
      <c r="A638" t="s">
        <v>1250</v>
      </c>
      <c r="B638" s="1" t="s">
        <v>337</v>
      </c>
      <c r="C638">
        <v>3.5</v>
      </c>
      <c r="D638" s="72">
        <f>PRODUCTOS[[#This Row],[V/U VENTA]]*PRODUCTOS[[#This Row],[CANTIDAD]]</f>
        <v>0</v>
      </c>
      <c r="E638">
        <v>5</v>
      </c>
      <c r="F638">
        <v>10</v>
      </c>
      <c r="G638">
        <v>0</v>
      </c>
      <c r="H638">
        <v>1</v>
      </c>
      <c r="I638" t="s">
        <v>1319</v>
      </c>
      <c r="J638" s="72">
        <v>0</v>
      </c>
    </row>
    <row r="639" spans="1:10" x14ac:dyDescent="0.25">
      <c r="A639" t="s">
        <v>1251</v>
      </c>
      <c r="B639" s="1" t="s">
        <v>217</v>
      </c>
      <c r="C639">
        <v>21.5</v>
      </c>
      <c r="D639" s="72">
        <f>PRODUCTOS[[#This Row],[V/U VENTA]]*PRODUCTOS[[#This Row],[CANTIDAD]]</f>
        <v>21.5</v>
      </c>
      <c r="E639">
        <v>5</v>
      </c>
      <c r="F639">
        <v>10</v>
      </c>
      <c r="G639">
        <v>1</v>
      </c>
      <c r="H639">
        <v>1</v>
      </c>
      <c r="I639" t="s">
        <v>1319</v>
      </c>
      <c r="J639" s="72">
        <v>0</v>
      </c>
    </row>
    <row r="640" spans="1:10" x14ac:dyDescent="0.25">
      <c r="A640" t="s">
        <v>1252</v>
      </c>
      <c r="B640" s="1" t="s">
        <v>577</v>
      </c>
      <c r="C640">
        <v>4</v>
      </c>
      <c r="D640" s="72">
        <f>PRODUCTOS[[#This Row],[V/U VENTA]]*PRODUCTOS[[#This Row],[CANTIDAD]]</f>
        <v>4</v>
      </c>
      <c r="E640">
        <v>5</v>
      </c>
      <c r="F640">
        <v>10</v>
      </c>
      <c r="G640">
        <v>1</v>
      </c>
      <c r="H640">
        <v>1</v>
      </c>
      <c r="I640" t="s">
        <v>1319</v>
      </c>
      <c r="J640" s="72">
        <v>0</v>
      </c>
    </row>
    <row r="641" spans="1:10" x14ac:dyDescent="0.25">
      <c r="A641" t="s">
        <v>1253</v>
      </c>
      <c r="B641" s="1" t="s">
        <v>202</v>
      </c>
      <c r="C641">
        <v>0.2</v>
      </c>
      <c r="D641" s="72">
        <f>PRODUCTOS[[#This Row],[V/U VENTA]]*PRODUCTOS[[#This Row],[CANTIDAD]]</f>
        <v>10.4</v>
      </c>
      <c r="E641">
        <v>5</v>
      </c>
      <c r="F641">
        <v>10</v>
      </c>
      <c r="G641">
        <v>52</v>
      </c>
      <c r="H641">
        <v>1</v>
      </c>
      <c r="I641" t="s">
        <v>1319</v>
      </c>
      <c r="J641" s="72">
        <v>0</v>
      </c>
    </row>
    <row r="642" spans="1:10" x14ac:dyDescent="0.25">
      <c r="A642" t="s">
        <v>1254</v>
      </c>
      <c r="B642" s="1" t="s">
        <v>110</v>
      </c>
      <c r="C642">
        <v>0.8</v>
      </c>
      <c r="D642" s="72">
        <f>PRODUCTOS[[#This Row],[V/U VENTA]]*PRODUCTOS[[#This Row],[CANTIDAD]]</f>
        <v>4.8000000000000007</v>
      </c>
      <c r="E642">
        <v>5</v>
      </c>
      <c r="F642">
        <v>10</v>
      </c>
      <c r="G642">
        <v>6</v>
      </c>
      <c r="H642">
        <v>1</v>
      </c>
      <c r="I642" t="s">
        <v>1319</v>
      </c>
      <c r="J642" s="72">
        <v>0</v>
      </c>
    </row>
    <row r="643" spans="1:10" x14ac:dyDescent="0.25">
      <c r="A643" t="s">
        <v>1255</v>
      </c>
      <c r="B643" s="1" t="s">
        <v>109</v>
      </c>
      <c r="C643">
        <v>0.75</v>
      </c>
      <c r="D643" s="72">
        <f>PRODUCTOS[[#This Row],[V/U VENTA]]*PRODUCTOS[[#This Row],[CANTIDAD]]</f>
        <v>6.75</v>
      </c>
      <c r="E643">
        <v>5</v>
      </c>
      <c r="F643">
        <v>10</v>
      </c>
      <c r="G643">
        <v>9</v>
      </c>
      <c r="H643">
        <v>1</v>
      </c>
      <c r="I643" t="s">
        <v>1319</v>
      </c>
      <c r="J643" s="72">
        <v>0</v>
      </c>
    </row>
    <row r="644" spans="1:10" x14ac:dyDescent="0.25">
      <c r="A644" t="s">
        <v>1256</v>
      </c>
      <c r="B644" s="1" t="s">
        <v>225</v>
      </c>
      <c r="C644">
        <v>10.4</v>
      </c>
      <c r="D644" s="72">
        <f>PRODUCTOS[[#This Row],[V/U VENTA]]*PRODUCTOS[[#This Row],[CANTIDAD]]</f>
        <v>20.8</v>
      </c>
      <c r="E644">
        <v>5</v>
      </c>
      <c r="F644">
        <v>10</v>
      </c>
      <c r="G644">
        <v>2</v>
      </c>
      <c r="H644">
        <v>1</v>
      </c>
      <c r="I644" t="s">
        <v>1319</v>
      </c>
      <c r="J644" s="72">
        <v>0</v>
      </c>
    </row>
    <row r="645" spans="1:10" x14ac:dyDescent="0.25">
      <c r="A645" t="s">
        <v>1257</v>
      </c>
      <c r="B645" s="1" t="s">
        <v>79</v>
      </c>
      <c r="C645">
        <v>7.4</v>
      </c>
      <c r="D645" s="72">
        <f>PRODUCTOS[[#This Row],[V/U VENTA]]*PRODUCTOS[[#This Row],[CANTIDAD]]</f>
        <v>7.4</v>
      </c>
      <c r="E645">
        <v>5</v>
      </c>
      <c r="F645">
        <v>10</v>
      </c>
      <c r="G645">
        <v>1</v>
      </c>
      <c r="H645">
        <v>1</v>
      </c>
      <c r="I645" t="s">
        <v>1319</v>
      </c>
      <c r="J645" s="72">
        <v>0</v>
      </c>
    </row>
    <row r="646" spans="1:10" x14ac:dyDescent="0.25">
      <c r="A646" t="s">
        <v>1258</v>
      </c>
      <c r="B646" s="1" t="s">
        <v>352</v>
      </c>
      <c r="C646">
        <v>0.45</v>
      </c>
      <c r="D646" s="72">
        <f>PRODUCTOS[[#This Row],[V/U VENTA]]*PRODUCTOS[[#This Row],[CANTIDAD]]</f>
        <v>3.6</v>
      </c>
      <c r="E646">
        <v>5</v>
      </c>
      <c r="F646">
        <v>10</v>
      </c>
      <c r="G646">
        <v>8</v>
      </c>
      <c r="H646">
        <v>1</v>
      </c>
      <c r="I646" t="s">
        <v>1319</v>
      </c>
      <c r="J646" s="72">
        <v>0</v>
      </c>
    </row>
    <row r="647" spans="1:10" x14ac:dyDescent="0.25">
      <c r="A647" t="s">
        <v>1259</v>
      </c>
      <c r="B647" s="1" t="s">
        <v>1516</v>
      </c>
      <c r="C647">
        <v>0.2</v>
      </c>
      <c r="D647" s="72">
        <f>PRODUCTOS[[#This Row],[V/U VENTA]]*PRODUCTOS[[#This Row],[CANTIDAD]]</f>
        <v>9.4</v>
      </c>
      <c r="E647">
        <v>5</v>
      </c>
      <c r="F647">
        <v>10</v>
      </c>
      <c r="G647">
        <v>47</v>
      </c>
      <c r="H647">
        <v>1</v>
      </c>
      <c r="I647" t="s">
        <v>1319</v>
      </c>
      <c r="J647" s="72">
        <v>0</v>
      </c>
    </row>
    <row r="648" spans="1:10" x14ac:dyDescent="0.25">
      <c r="A648" t="s">
        <v>1260</v>
      </c>
      <c r="B648" s="1" t="s">
        <v>580</v>
      </c>
      <c r="C648">
        <v>1.95</v>
      </c>
      <c r="D648" s="72">
        <f>PRODUCTOS[[#This Row],[V/U VENTA]]*PRODUCTOS[[#This Row],[CANTIDAD]]</f>
        <v>0</v>
      </c>
      <c r="E648">
        <v>5</v>
      </c>
      <c r="F648">
        <v>10</v>
      </c>
      <c r="G648">
        <v>0</v>
      </c>
      <c r="H648">
        <v>1</v>
      </c>
      <c r="I648" t="s">
        <v>1319</v>
      </c>
      <c r="J648" s="72">
        <v>0</v>
      </c>
    </row>
    <row r="649" spans="1:10" x14ac:dyDescent="0.25">
      <c r="A649" t="s">
        <v>1261</v>
      </c>
      <c r="B649" s="1" t="s">
        <v>80</v>
      </c>
      <c r="C649" s="74"/>
      <c r="D649" s="72">
        <f>PRODUCTOS[[#This Row],[V/U VENTA]]*PRODUCTOS[[#This Row],[CANTIDAD]]</f>
        <v>0</v>
      </c>
      <c r="E649">
        <v>5</v>
      </c>
      <c r="F649">
        <v>10</v>
      </c>
      <c r="G649">
        <v>1</v>
      </c>
      <c r="H649">
        <v>1</v>
      </c>
      <c r="I649" t="s">
        <v>1319</v>
      </c>
      <c r="J649" s="72">
        <v>0</v>
      </c>
    </row>
    <row r="650" spans="1:10" x14ac:dyDescent="0.25">
      <c r="A650" t="s">
        <v>1262</v>
      </c>
      <c r="B650" s="1" t="s">
        <v>160</v>
      </c>
      <c r="C650">
        <v>0.6</v>
      </c>
      <c r="D650" s="72">
        <f>PRODUCTOS[[#This Row],[V/U VENTA]]*PRODUCTOS[[#This Row],[CANTIDAD]]</f>
        <v>1.2</v>
      </c>
      <c r="E650">
        <v>5</v>
      </c>
      <c r="F650">
        <v>10</v>
      </c>
      <c r="G650">
        <v>2</v>
      </c>
      <c r="H650">
        <v>1</v>
      </c>
      <c r="I650" t="s">
        <v>1319</v>
      </c>
      <c r="J650" s="72">
        <v>0</v>
      </c>
    </row>
    <row r="651" spans="1:10" x14ac:dyDescent="0.25">
      <c r="A651" t="s">
        <v>1263</v>
      </c>
      <c r="B651" s="1" t="s">
        <v>218</v>
      </c>
      <c r="C651">
        <v>10.6</v>
      </c>
      <c r="D651" s="72">
        <f>PRODUCTOS[[#This Row],[V/U VENTA]]*PRODUCTOS[[#This Row],[CANTIDAD]]</f>
        <v>10.6</v>
      </c>
      <c r="E651">
        <v>5</v>
      </c>
      <c r="F651">
        <v>10</v>
      </c>
      <c r="G651">
        <v>1</v>
      </c>
      <c r="H651">
        <v>1</v>
      </c>
      <c r="I651" t="s">
        <v>1319</v>
      </c>
      <c r="J651" s="72">
        <v>0</v>
      </c>
    </row>
    <row r="652" spans="1:10" x14ac:dyDescent="0.25">
      <c r="A652" t="s">
        <v>1264</v>
      </c>
      <c r="B652" s="1" t="s">
        <v>1517</v>
      </c>
      <c r="C652">
        <v>2</v>
      </c>
      <c r="D652" s="72">
        <f>PRODUCTOS[[#This Row],[V/U VENTA]]*PRODUCTOS[[#This Row],[CANTIDAD]]</f>
        <v>4</v>
      </c>
      <c r="E652">
        <v>5</v>
      </c>
      <c r="F652">
        <v>10</v>
      </c>
      <c r="G652">
        <v>2</v>
      </c>
      <c r="H652">
        <v>1</v>
      </c>
      <c r="I652" t="s">
        <v>1319</v>
      </c>
      <c r="J652" s="72">
        <v>0</v>
      </c>
    </row>
    <row r="653" spans="1:10" x14ac:dyDescent="0.25">
      <c r="A653" t="s">
        <v>1265</v>
      </c>
      <c r="B653" s="1" t="s">
        <v>472</v>
      </c>
      <c r="C653">
        <v>3.5</v>
      </c>
      <c r="D653" s="72">
        <f>PRODUCTOS[[#This Row],[V/U VENTA]]*PRODUCTOS[[#This Row],[CANTIDAD]]</f>
        <v>3.5</v>
      </c>
      <c r="E653">
        <v>5</v>
      </c>
      <c r="F653">
        <v>10</v>
      </c>
      <c r="G653">
        <v>1</v>
      </c>
      <c r="H653">
        <v>1</v>
      </c>
      <c r="I653" t="s">
        <v>1319</v>
      </c>
      <c r="J653" s="72">
        <v>0</v>
      </c>
    </row>
    <row r="654" spans="1:10" x14ac:dyDescent="0.25">
      <c r="A654" t="s">
        <v>1266</v>
      </c>
      <c r="B654" s="1" t="s">
        <v>492</v>
      </c>
      <c r="C654">
        <v>1.25</v>
      </c>
      <c r="D654" s="72">
        <f>PRODUCTOS[[#This Row],[V/U VENTA]]*PRODUCTOS[[#This Row],[CANTIDAD]]</f>
        <v>12.5</v>
      </c>
      <c r="E654">
        <v>5</v>
      </c>
      <c r="F654">
        <v>10</v>
      </c>
      <c r="G654">
        <v>10</v>
      </c>
      <c r="H654">
        <v>1</v>
      </c>
      <c r="I654" t="s">
        <v>1319</v>
      </c>
      <c r="J654" s="72">
        <v>0</v>
      </c>
    </row>
    <row r="655" spans="1:10" x14ac:dyDescent="0.25">
      <c r="A655" t="s">
        <v>1267</v>
      </c>
      <c r="B655" s="1" t="s">
        <v>560</v>
      </c>
      <c r="C655">
        <v>4</v>
      </c>
      <c r="D655" s="72">
        <f>PRODUCTOS[[#This Row],[V/U VENTA]]*PRODUCTOS[[#This Row],[CANTIDAD]]</f>
        <v>12</v>
      </c>
      <c r="E655">
        <v>5</v>
      </c>
      <c r="F655">
        <v>10</v>
      </c>
      <c r="G655">
        <v>3</v>
      </c>
      <c r="H655">
        <v>1</v>
      </c>
      <c r="I655" t="s">
        <v>1319</v>
      </c>
      <c r="J655" s="72">
        <v>0</v>
      </c>
    </row>
    <row r="656" spans="1:10" x14ac:dyDescent="0.25">
      <c r="A656" t="s">
        <v>1268</v>
      </c>
      <c r="B656" s="1" t="s">
        <v>603</v>
      </c>
      <c r="C656">
        <v>2.76</v>
      </c>
      <c r="D656" s="72">
        <f>PRODUCTOS[[#This Row],[V/U VENTA]]*PRODUCTOS[[#This Row],[CANTIDAD]]</f>
        <v>2.76</v>
      </c>
      <c r="E656">
        <v>5</v>
      </c>
      <c r="F656">
        <v>10</v>
      </c>
      <c r="G656">
        <v>1</v>
      </c>
      <c r="H656">
        <v>1</v>
      </c>
      <c r="I656" t="s">
        <v>1319</v>
      </c>
      <c r="J656" s="72">
        <v>0</v>
      </c>
    </row>
    <row r="657" spans="1:10" x14ac:dyDescent="0.25">
      <c r="A657" t="s">
        <v>1269</v>
      </c>
      <c r="B657" s="1" t="s">
        <v>438</v>
      </c>
      <c r="C657">
        <v>4.51</v>
      </c>
      <c r="D657" s="72">
        <f>PRODUCTOS[[#This Row],[V/U VENTA]]*PRODUCTOS[[#This Row],[CANTIDAD]]</f>
        <v>4.51</v>
      </c>
      <c r="E657">
        <v>5</v>
      </c>
      <c r="F657">
        <v>10</v>
      </c>
      <c r="G657">
        <v>1</v>
      </c>
      <c r="H657">
        <v>1</v>
      </c>
      <c r="I657" t="s">
        <v>1319</v>
      </c>
      <c r="J657" s="72">
        <v>0</v>
      </c>
    </row>
    <row r="658" spans="1:10" x14ac:dyDescent="0.25">
      <c r="A658" t="s">
        <v>1270</v>
      </c>
      <c r="B658" s="1" t="s">
        <v>273</v>
      </c>
      <c r="C658">
        <v>0.8</v>
      </c>
      <c r="D658" s="72">
        <f>PRODUCTOS[[#This Row],[V/U VENTA]]*PRODUCTOS[[#This Row],[CANTIDAD]]</f>
        <v>20.8</v>
      </c>
      <c r="E658">
        <v>5</v>
      </c>
      <c r="F658">
        <v>10</v>
      </c>
      <c r="G658">
        <v>26</v>
      </c>
      <c r="H658">
        <v>1</v>
      </c>
      <c r="I658" t="s">
        <v>1319</v>
      </c>
      <c r="J658" s="72">
        <v>0</v>
      </c>
    </row>
    <row r="659" spans="1:10" x14ac:dyDescent="0.25">
      <c r="A659" t="s">
        <v>1271</v>
      </c>
      <c r="B659" s="1" t="s">
        <v>306</v>
      </c>
      <c r="C659">
        <v>6.48</v>
      </c>
      <c r="D659" s="72">
        <f>PRODUCTOS[[#This Row],[V/U VENTA]]*PRODUCTOS[[#This Row],[CANTIDAD]]</f>
        <v>0</v>
      </c>
      <c r="E659">
        <v>5</v>
      </c>
      <c r="F659">
        <v>10</v>
      </c>
      <c r="G659">
        <v>0</v>
      </c>
      <c r="H659">
        <v>1</v>
      </c>
      <c r="I659" t="s">
        <v>1319</v>
      </c>
      <c r="J659" s="72">
        <v>0</v>
      </c>
    </row>
    <row r="660" spans="1:10" x14ac:dyDescent="0.25">
      <c r="A660" t="s">
        <v>1272</v>
      </c>
      <c r="B660" s="1" t="s">
        <v>353</v>
      </c>
      <c r="C660">
        <v>20.79</v>
      </c>
      <c r="D660" s="72">
        <f>PRODUCTOS[[#This Row],[V/U VENTA]]*PRODUCTOS[[#This Row],[CANTIDAD]]</f>
        <v>20.79</v>
      </c>
      <c r="E660">
        <v>5</v>
      </c>
      <c r="F660">
        <v>10</v>
      </c>
      <c r="G660">
        <v>1</v>
      </c>
      <c r="H660">
        <v>1</v>
      </c>
      <c r="I660" t="s">
        <v>1319</v>
      </c>
      <c r="J660" s="72">
        <v>0</v>
      </c>
    </row>
    <row r="661" spans="1:10" x14ac:dyDescent="0.25">
      <c r="A661" t="s">
        <v>1273</v>
      </c>
      <c r="B661" s="1" t="s">
        <v>557</v>
      </c>
      <c r="C661">
        <v>0.15</v>
      </c>
      <c r="D661" s="72">
        <f>PRODUCTOS[[#This Row],[V/U VENTA]]*PRODUCTOS[[#This Row],[CANTIDAD]]</f>
        <v>7.5</v>
      </c>
      <c r="E661">
        <v>5</v>
      </c>
      <c r="F661">
        <v>10</v>
      </c>
      <c r="G661">
        <v>50</v>
      </c>
      <c r="H661">
        <v>1</v>
      </c>
      <c r="I661" t="s">
        <v>1319</v>
      </c>
      <c r="J661" s="72">
        <v>0</v>
      </c>
    </row>
    <row r="662" spans="1:10" x14ac:dyDescent="0.25">
      <c r="A662" t="s">
        <v>1274</v>
      </c>
      <c r="B662" s="1" t="s">
        <v>556</v>
      </c>
      <c r="C662">
        <v>0.2</v>
      </c>
      <c r="D662" s="72">
        <f>PRODUCTOS[[#This Row],[V/U VENTA]]*PRODUCTOS[[#This Row],[CANTIDAD]]</f>
        <v>14.8</v>
      </c>
      <c r="E662">
        <v>5</v>
      </c>
      <c r="F662">
        <v>10</v>
      </c>
      <c r="G662">
        <v>74</v>
      </c>
      <c r="H662">
        <v>1</v>
      </c>
      <c r="I662" t="s">
        <v>1319</v>
      </c>
      <c r="J662" s="72">
        <v>0</v>
      </c>
    </row>
    <row r="663" spans="1:10" x14ac:dyDescent="0.25">
      <c r="A663" t="s">
        <v>1275</v>
      </c>
      <c r="B663" s="1" t="s">
        <v>287</v>
      </c>
      <c r="C663">
        <v>0.49</v>
      </c>
      <c r="D663" s="72">
        <f>PRODUCTOS[[#This Row],[V/U VENTA]]*PRODUCTOS[[#This Row],[CANTIDAD]]</f>
        <v>0.98</v>
      </c>
      <c r="E663">
        <v>5</v>
      </c>
      <c r="F663">
        <v>10</v>
      </c>
      <c r="G663">
        <v>2</v>
      </c>
      <c r="H663">
        <v>1</v>
      </c>
      <c r="I663" t="s">
        <v>1319</v>
      </c>
      <c r="J663" s="72">
        <v>0</v>
      </c>
    </row>
    <row r="664" spans="1:10" x14ac:dyDescent="0.25">
      <c r="A664" t="s">
        <v>1276</v>
      </c>
      <c r="B664" s="1" t="s">
        <v>1518</v>
      </c>
      <c r="C664">
        <v>0.6</v>
      </c>
      <c r="D664" s="72">
        <f>PRODUCTOS[[#This Row],[V/U VENTA]]*PRODUCTOS[[#This Row],[CANTIDAD]]</f>
        <v>42.6</v>
      </c>
      <c r="E664">
        <v>5</v>
      </c>
      <c r="F664">
        <v>10</v>
      </c>
      <c r="G664">
        <v>71</v>
      </c>
      <c r="H664">
        <v>1</v>
      </c>
      <c r="I664" t="s">
        <v>1319</v>
      </c>
      <c r="J664" s="72">
        <v>0</v>
      </c>
    </row>
    <row r="665" spans="1:10" x14ac:dyDescent="0.25">
      <c r="A665" t="s">
        <v>1277</v>
      </c>
      <c r="B665" s="1" t="s">
        <v>417</v>
      </c>
      <c r="C665">
        <v>6</v>
      </c>
      <c r="D665" s="72">
        <f>PRODUCTOS[[#This Row],[V/U VENTA]]*PRODUCTOS[[#This Row],[CANTIDAD]]</f>
        <v>6</v>
      </c>
      <c r="E665">
        <v>5</v>
      </c>
      <c r="F665">
        <v>10</v>
      </c>
      <c r="G665">
        <v>1</v>
      </c>
      <c r="H665">
        <v>1</v>
      </c>
      <c r="I665" t="s">
        <v>1319</v>
      </c>
      <c r="J665" s="72">
        <v>0</v>
      </c>
    </row>
    <row r="666" spans="1:10" x14ac:dyDescent="0.25">
      <c r="A666" t="s">
        <v>1278</v>
      </c>
      <c r="B666" s="1" t="s">
        <v>534</v>
      </c>
      <c r="C666">
        <v>0.15</v>
      </c>
      <c r="D666" s="72">
        <f>PRODUCTOS[[#This Row],[V/U VENTA]]*PRODUCTOS[[#This Row],[CANTIDAD]]</f>
        <v>4.5</v>
      </c>
      <c r="E666">
        <v>5</v>
      </c>
      <c r="F666">
        <v>10</v>
      </c>
      <c r="G666">
        <v>30</v>
      </c>
      <c r="H666">
        <v>1</v>
      </c>
      <c r="I666" t="s">
        <v>1319</v>
      </c>
      <c r="J666" s="72">
        <v>0</v>
      </c>
    </row>
    <row r="667" spans="1:10" x14ac:dyDescent="0.25">
      <c r="A667" t="s">
        <v>1279</v>
      </c>
      <c r="B667" s="1" t="s">
        <v>533</v>
      </c>
      <c r="C667">
        <v>0.2</v>
      </c>
      <c r="D667" s="72">
        <f>PRODUCTOS[[#This Row],[V/U VENTA]]*PRODUCTOS[[#This Row],[CANTIDAD]]</f>
        <v>10</v>
      </c>
      <c r="E667">
        <v>5</v>
      </c>
      <c r="F667">
        <v>10</v>
      </c>
      <c r="G667">
        <v>50</v>
      </c>
      <c r="H667">
        <v>1</v>
      </c>
      <c r="I667" t="s">
        <v>1319</v>
      </c>
      <c r="J667" s="72">
        <v>0</v>
      </c>
    </row>
    <row r="668" spans="1:10" x14ac:dyDescent="0.25">
      <c r="A668" t="s">
        <v>1280</v>
      </c>
      <c r="B668" s="1" t="s">
        <v>523</v>
      </c>
      <c r="C668">
        <v>0.4</v>
      </c>
      <c r="D668" s="72">
        <f>PRODUCTOS[[#This Row],[V/U VENTA]]*PRODUCTOS[[#This Row],[CANTIDAD]]</f>
        <v>5.6000000000000005</v>
      </c>
      <c r="E668">
        <v>5</v>
      </c>
      <c r="F668">
        <v>10</v>
      </c>
      <c r="G668">
        <v>14</v>
      </c>
      <c r="H668">
        <v>1</v>
      </c>
      <c r="I668" t="s">
        <v>1319</v>
      </c>
      <c r="J668" s="72">
        <v>0</v>
      </c>
    </row>
    <row r="669" spans="1:10" x14ac:dyDescent="0.25">
      <c r="A669" t="s">
        <v>1281</v>
      </c>
      <c r="B669" s="1" t="s">
        <v>522</v>
      </c>
      <c r="C669">
        <v>0.4</v>
      </c>
      <c r="D669" s="72">
        <f>PRODUCTOS[[#This Row],[V/U VENTA]]*PRODUCTOS[[#This Row],[CANTIDAD]]</f>
        <v>9.6000000000000014</v>
      </c>
      <c r="E669">
        <v>5</v>
      </c>
      <c r="F669">
        <v>10</v>
      </c>
      <c r="G669">
        <v>24</v>
      </c>
      <c r="H669">
        <v>1</v>
      </c>
      <c r="I669" t="s">
        <v>1319</v>
      </c>
      <c r="J669" s="72">
        <v>0</v>
      </c>
    </row>
    <row r="670" spans="1:10" x14ac:dyDescent="0.25">
      <c r="A670" t="s">
        <v>1282</v>
      </c>
      <c r="B670" s="1" t="s">
        <v>206</v>
      </c>
      <c r="C670">
        <v>15.95</v>
      </c>
      <c r="D670" s="72">
        <f>PRODUCTOS[[#This Row],[V/U VENTA]]*PRODUCTOS[[#This Row],[CANTIDAD]]</f>
        <v>15.95</v>
      </c>
      <c r="E670">
        <v>5</v>
      </c>
      <c r="F670">
        <v>10</v>
      </c>
      <c r="G670">
        <v>1</v>
      </c>
      <c r="H670">
        <v>1</v>
      </c>
      <c r="I670" t="s">
        <v>1319</v>
      </c>
      <c r="J670" s="72">
        <v>0</v>
      </c>
    </row>
    <row r="671" spans="1:10" x14ac:dyDescent="0.25">
      <c r="A671" t="s">
        <v>1283</v>
      </c>
      <c r="B671" s="1" t="s">
        <v>203</v>
      </c>
      <c r="C671">
        <v>3.25</v>
      </c>
      <c r="D671" s="72">
        <f>PRODUCTOS[[#This Row],[V/U VENTA]]*PRODUCTOS[[#This Row],[CANTIDAD]]</f>
        <v>0</v>
      </c>
      <c r="E671">
        <v>5</v>
      </c>
      <c r="F671">
        <v>10</v>
      </c>
      <c r="G671">
        <v>0</v>
      </c>
      <c r="H671">
        <v>1</v>
      </c>
      <c r="I671" t="s">
        <v>1319</v>
      </c>
      <c r="J671" s="72">
        <v>0</v>
      </c>
    </row>
    <row r="672" spans="1:10" x14ac:dyDescent="0.25">
      <c r="A672" t="s">
        <v>1284</v>
      </c>
      <c r="B672" s="1" t="s">
        <v>237</v>
      </c>
      <c r="C672">
        <v>5.45</v>
      </c>
      <c r="D672" s="72">
        <f>PRODUCTOS[[#This Row],[V/U VENTA]]*PRODUCTOS[[#This Row],[CANTIDAD]]</f>
        <v>10.9</v>
      </c>
      <c r="E672">
        <v>5</v>
      </c>
      <c r="F672">
        <v>10</v>
      </c>
      <c r="G672">
        <v>2</v>
      </c>
      <c r="H672">
        <v>1</v>
      </c>
      <c r="I672" t="s">
        <v>1319</v>
      </c>
      <c r="J672" s="72">
        <v>0</v>
      </c>
    </row>
    <row r="673" spans="1:10" x14ac:dyDescent="0.25">
      <c r="A673" t="s">
        <v>1285</v>
      </c>
      <c r="B673" s="1" t="s">
        <v>240</v>
      </c>
      <c r="C673">
        <v>6.5</v>
      </c>
      <c r="D673" s="72">
        <f>PRODUCTOS[[#This Row],[V/U VENTA]]*PRODUCTOS[[#This Row],[CANTIDAD]]</f>
        <v>0</v>
      </c>
      <c r="E673">
        <v>5</v>
      </c>
      <c r="F673">
        <v>10</v>
      </c>
      <c r="G673">
        <v>0</v>
      </c>
      <c r="H673">
        <v>1</v>
      </c>
      <c r="I673" t="s">
        <v>1319</v>
      </c>
      <c r="J673" s="72">
        <v>0</v>
      </c>
    </row>
    <row r="674" spans="1:10" x14ac:dyDescent="0.25">
      <c r="A674" t="s">
        <v>1286</v>
      </c>
      <c r="B674" s="1" t="s">
        <v>239</v>
      </c>
      <c r="C674">
        <v>3.85</v>
      </c>
      <c r="D674" s="72">
        <f>PRODUCTOS[[#This Row],[V/U VENTA]]*PRODUCTOS[[#This Row],[CANTIDAD]]</f>
        <v>0</v>
      </c>
      <c r="E674">
        <v>5</v>
      </c>
      <c r="F674">
        <v>10</v>
      </c>
      <c r="G674">
        <v>0</v>
      </c>
      <c r="H674">
        <v>1</v>
      </c>
      <c r="I674" t="s">
        <v>1319</v>
      </c>
      <c r="J674" s="72">
        <v>0</v>
      </c>
    </row>
    <row r="675" spans="1:10" x14ac:dyDescent="0.25">
      <c r="A675" t="s">
        <v>1287</v>
      </c>
      <c r="B675" s="1" t="s">
        <v>536</v>
      </c>
      <c r="C675">
        <v>16.7</v>
      </c>
      <c r="D675" s="72">
        <f>PRODUCTOS[[#This Row],[V/U VENTA]]*PRODUCTOS[[#This Row],[CANTIDAD]]</f>
        <v>0</v>
      </c>
      <c r="E675">
        <v>5</v>
      </c>
      <c r="F675">
        <v>10</v>
      </c>
      <c r="G675">
        <v>0</v>
      </c>
      <c r="H675">
        <v>1</v>
      </c>
      <c r="I675" t="s">
        <v>1319</v>
      </c>
      <c r="J675" s="72">
        <v>0</v>
      </c>
    </row>
    <row r="676" spans="1:10" x14ac:dyDescent="0.25">
      <c r="A676" t="s">
        <v>1288</v>
      </c>
      <c r="B676" s="1" t="s">
        <v>108</v>
      </c>
      <c r="C676">
        <v>11</v>
      </c>
      <c r="D676" s="72">
        <f>PRODUCTOS[[#This Row],[V/U VENTA]]*PRODUCTOS[[#This Row],[CANTIDAD]]</f>
        <v>11</v>
      </c>
      <c r="E676">
        <v>5</v>
      </c>
      <c r="F676">
        <v>10</v>
      </c>
      <c r="G676">
        <v>1</v>
      </c>
      <c r="H676">
        <v>1</v>
      </c>
      <c r="I676" t="s">
        <v>1319</v>
      </c>
      <c r="J676" s="72">
        <v>0</v>
      </c>
    </row>
    <row r="677" spans="1:10" x14ac:dyDescent="0.25">
      <c r="A677" t="s">
        <v>1289</v>
      </c>
      <c r="B677" s="1" t="s">
        <v>51</v>
      </c>
      <c r="C677">
        <v>0.6</v>
      </c>
      <c r="D677" s="72">
        <f>PRODUCTOS[[#This Row],[V/U VENTA]]*PRODUCTOS[[#This Row],[CANTIDAD]]</f>
        <v>0</v>
      </c>
      <c r="E677">
        <v>5</v>
      </c>
      <c r="F677">
        <v>10</v>
      </c>
      <c r="G677">
        <v>0</v>
      </c>
      <c r="H677">
        <v>1</v>
      </c>
      <c r="I677" t="s">
        <v>1319</v>
      </c>
      <c r="J677" s="72">
        <v>0</v>
      </c>
    </row>
    <row r="678" spans="1:10" x14ac:dyDescent="0.25">
      <c r="A678" t="s">
        <v>1290</v>
      </c>
      <c r="B678" s="1" t="s">
        <v>446</v>
      </c>
      <c r="C678">
        <v>2.8</v>
      </c>
      <c r="D678" s="72">
        <f>PRODUCTOS[[#This Row],[V/U VENTA]]*PRODUCTOS[[#This Row],[CANTIDAD]]</f>
        <v>8.3999999999999986</v>
      </c>
      <c r="E678">
        <v>5</v>
      </c>
      <c r="F678">
        <v>10</v>
      </c>
      <c r="G678">
        <v>3</v>
      </c>
      <c r="H678">
        <v>1</v>
      </c>
      <c r="I678" t="s">
        <v>1319</v>
      </c>
      <c r="J678" s="72">
        <v>0</v>
      </c>
    </row>
    <row r="679" spans="1:10" x14ac:dyDescent="0.25">
      <c r="A679" t="s">
        <v>1291</v>
      </c>
      <c r="B679" s="1" t="s">
        <v>245</v>
      </c>
      <c r="C679">
        <v>0.15</v>
      </c>
      <c r="D679" s="72">
        <f>PRODUCTOS[[#This Row],[V/U VENTA]]*PRODUCTOS[[#This Row],[CANTIDAD]]</f>
        <v>4.05</v>
      </c>
      <c r="E679">
        <v>5</v>
      </c>
      <c r="F679">
        <v>10</v>
      </c>
      <c r="G679">
        <v>27</v>
      </c>
      <c r="H679">
        <v>1</v>
      </c>
      <c r="I679" t="s">
        <v>1319</v>
      </c>
      <c r="J679" s="72">
        <v>0</v>
      </c>
    </row>
    <row r="680" spans="1:10" x14ac:dyDescent="0.25">
      <c r="A680" t="s">
        <v>1292</v>
      </c>
      <c r="B680" s="1" t="s">
        <v>605</v>
      </c>
      <c r="C680">
        <v>5.25</v>
      </c>
      <c r="D680" s="72">
        <f>PRODUCTOS[[#This Row],[V/U VENTA]]*PRODUCTOS[[#This Row],[CANTIDAD]]</f>
        <v>0</v>
      </c>
      <c r="E680">
        <v>5</v>
      </c>
      <c r="F680">
        <v>10</v>
      </c>
      <c r="G680">
        <v>0</v>
      </c>
      <c r="H680">
        <v>1</v>
      </c>
      <c r="I680" t="s">
        <v>1319</v>
      </c>
      <c r="J680" s="72">
        <v>0</v>
      </c>
    </row>
    <row r="681" spans="1:10" x14ac:dyDescent="0.25">
      <c r="A681" t="s">
        <v>1293</v>
      </c>
      <c r="B681" s="1" t="s">
        <v>103</v>
      </c>
      <c r="C681">
        <v>1.4</v>
      </c>
      <c r="D681" s="72">
        <f>PRODUCTOS[[#This Row],[V/U VENTA]]*PRODUCTOS[[#This Row],[CANTIDAD]]</f>
        <v>0</v>
      </c>
      <c r="E681">
        <v>5</v>
      </c>
      <c r="F681">
        <v>10</v>
      </c>
      <c r="G681">
        <v>0</v>
      </c>
      <c r="H681">
        <v>1</v>
      </c>
      <c r="I681" t="s">
        <v>1319</v>
      </c>
      <c r="J681" s="72">
        <v>0</v>
      </c>
    </row>
    <row r="682" spans="1:10" x14ac:dyDescent="0.25">
      <c r="A682" t="s">
        <v>1294</v>
      </c>
      <c r="B682" s="1" t="s">
        <v>250</v>
      </c>
      <c r="C682">
        <v>0.8</v>
      </c>
      <c r="D682" s="72">
        <f>PRODUCTOS[[#This Row],[V/U VENTA]]*PRODUCTOS[[#This Row],[CANTIDAD]]</f>
        <v>12</v>
      </c>
      <c r="E682">
        <v>5</v>
      </c>
      <c r="F682">
        <v>10</v>
      </c>
      <c r="G682">
        <v>15</v>
      </c>
      <c r="H682">
        <v>1</v>
      </c>
      <c r="I682" t="s">
        <v>1319</v>
      </c>
      <c r="J682" s="72">
        <v>0</v>
      </c>
    </row>
    <row r="683" spans="1:10" x14ac:dyDescent="0.25">
      <c r="A683" t="s">
        <v>1295</v>
      </c>
      <c r="B683" s="1" t="s">
        <v>391</v>
      </c>
      <c r="C683">
        <v>5.59</v>
      </c>
      <c r="D683" s="72">
        <f>PRODUCTOS[[#This Row],[V/U VENTA]]*PRODUCTOS[[#This Row],[CANTIDAD]]</f>
        <v>5.59</v>
      </c>
      <c r="E683">
        <v>5</v>
      </c>
      <c r="F683">
        <v>10</v>
      </c>
      <c r="G683">
        <v>1</v>
      </c>
      <c r="H683">
        <v>1</v>
      </c>
      <c r="I683" t="s">
        <v>1319</v>
      </c>
      <c r="J683" s="72">
        <v>0</v>
      </c>
    </row>
    <row r="684" spans="1:10" x14ac:dyDescent="0.25">
      <c r="A684" t="s">
        <v>1296</v>
      </c>
      <c r="B684" s="1" t="s">
        <v>100</v>
      </c>
      <c r="C684">
        <v>0.4</v>
      </c>
      <c r="D684" s="72">
        <f>PRODUCTOS[[#This Row],[V/U VENTA]]*PRODUCTOS[[#This Row],[CANTIDAD]]</f>
        <v>5.6000000000000005</v>
      </c>
      <c r="E684">
        <v>5</v>
      </c>
      <c r="F684">
        <v>10</v>
      </c>
      <c r="G684">
        <v>14</v>
      </c>
      <c r="H684">
        <v>1</v>
      </c>
      <c r="I684" t="s">
        <v>1319</v>
      </c>
      <c r="J684" s="72">
        <v>0</v>
      </c>
    </row>
    <row r="685" spans="1:10" x14ac:dyDescent="0.25">
      <c r="A685" t="s">
        <v>1297</v>
      </c>
      <c r="B685" s="1" t="s">
        <v>301</v>
      </c>
      <c r="C685">
        <v>14.5</v>
      </c>
      <c r="D685" s="72">
        <f>PRODUCTOS[[#This Row],[V/U VENTA]]*PRODUCTOS[[#This Row],[CANTIDAD]]</f>
        <v>29</v>
      </c>
      <c r="E685">
        <v>5</v>
      </c>
      <c r="F685">
        <v>10</v>
      </c>
      <c r="G685">
        <v>2</v>
      </c>
      <c r="H685">
        <v>1</v>
      </c>
      <c r="I685" t="s">
        <v>1319</v>
      </c>
      <c r="J685" s="72">
        <v>0</v>
      </c>
    </row>
    <row r="686" spans="1:10" x14ac:dyDescent="0.25">
      <c r="A686" t="s">
        <v>1298</v>
      </c>
      <c r="B686" s="1" t="s">
        <v>531</v>
      </c>
      <c r="C686">
        <v>0.15</v>
      </c>
      <c r="D686" s="72">
        <f>PRODUCTOS[[#This Row],[V/U VENTA]]*PRODUCTOS[[#This Row],[CANTIDAD]]</f>
        <v>12</v>
      </c>
      <c r="E686">
        <v>5</v>
      </c>
      <c r="F686">
        <v>10</v>
      </c>
      <c r="G686">
        <v>80</v>
      </c>
      <c r="H686">
        <v>1</v>
      </c>
      <c r="I686" t="s">
        <v>1319</v>
      </c>
      <c r="J686" s="72">
        <v>0</v>
      </c>
    </row>
    <row r="687" spans="1:10" x14ac:dyDescent="0.25">
      <c r="A687" t="s">
        <v>1299</v>
      </c>
      <c r="B687" s="1" t="s">
        <v>332</v>
      </c>
      <c r="C687">
        <v>2.1</v>
      </c>
      <c r="D687" s="72">
        <f>PRODUCTOS[[#This Row],[V/U VENTA]]*PRODUCTOS[[#This Row],[CANTIDAD]]</f>
        <v>0</v>
      </c>
      <c r="E687">
        <v>5</v>
      </c>
      <c r="F687">
        <v>10</v>
      </c>
      <c r="G687">
        <v>0</v>
      </c>
      <c r="H687">
        <v>1</v>
      </c>
      <c r="I687" t="s">
        <v>1319</v>
      </c>
      <c r="J687" s="72">
        <v>0</v>
      </c>
    </row>
    <row r="688" spans="1:10" x14ac:dyDescent="0.25">
      <c r="A688" t="s">
        <v>1300</v>
      </c>
      <c r="B688" s="1" t="s">
        <v>333</v>
      </c>
      <c r="C688">
        <v>0.2</v>
      </c>
      <c r="D688" s="72">
        <f>PRODUCTOS[[#This Row],[V/U VENTA]]*PRODUCTOS[[#This Row],[CANTIDAD]]</f>
        <v>0</v>
      </c>
      <c r="E688">
        <v>5</v>
      </c>
      <c r="F688">
        <v>10</v>
      </c>
      <c r="G688">
        <v>0</v>
      </c>
      <c r="H688">
        <v>1</v>
      </c>
      <c r="I688" t="s">
        <v>1319</v>
      </c>
      <c r="J688" s="72">
        <v>0</v>
      </c>
    </row>
    <row r="689" spans="1:10" x14ac:dyDescent="0.25">
      <c r="A689" t="s">
        <v>1301</v>
      </c>
      <c r="B689" s="1" t="s">
        <v>464</v>
      </c>
      <c r="C689">
        <v>8</v>
      </c>
      <c r="D689" s="72">
        <f>PRODUCTOS[[#This Row],[V/U VENTA]]*PRODUCTOS[[#This Row],[CANTIDAD]]</f>
        <v>8</v>
      </c>
      <c r="E689">
        <v>5</v>
      </c>
      <c r="F689">
        <v>10</v>
      </c>
      <c r="G689">
        <v>1</v>
      </c>
      <c r="H689">
        <v>1</v>
      </c>
      <c r="I689" t="s">
        <v>1319</v>
      </c>
      <c r="J689" s="72">
        <v>0</v>
      </c>
    </row>
    <row r="690" spans="1:10" x14ac:dyDescent="0.25">
      <c r="A690" t="s">
        <v>1302</v>
      </c>
      <c r="B690" s="1" t="s">
        <v>90</v>
      </c>
      <c r="C690">
        <v>1.79</v>
      </c>
      <c r="D690" s="72">
        <f>PRODUCTOS[[#This Row],[V/U VENTA]]*PRODUCTOS[[#This Row],[CANTIDAD]]</f>
        <v>100.24000000000001</v>
      </c>
      <c r="E690">
        <v>5</v>
      </c>
      <c r="F690">
        <v>10</v>
      </c>
      <c r="G690">
        <v>56</v>
      </c>
      <c r="H690">
        <v>1</v>
      </c>
      <c r="I690" t="s">
        <v>1319</v>
      </c>
      <c r="J690" s="72">
        <v>0</v>
      </c>
    </row>
    <row r="691" spans="1:10" x14ac:dyDescent="0.25">
      <c r="A691" t="s">
        <v>1303</v>
      </c>
      <c r="B691" s="1" t="s">
        <v>342</v>
      </c>
      <c r="C691">
        <v>0.95</v>
      </c>
      <c r="D691" s="72">
        <f>PRODUCTOS[[#This Row],[V/U VENTA]]*PRODUCTOS[[#This Row],[CANTIDAD]]</f>
        <v>11.399999999999999</v>
      </c>
      <c r="E691">
        <v>5</v>
      </c>
      <c r="F691">
        <v>10</v>
      </c>
      <c r="G691">
        <v>12</v>
      </c>
      <c r="H691">
        <v>1</v>
      </c>
      <c r="I691" t="s">
        <v>1320</v>
      </c>
      <c r="J691" s="72">
        <v>0</v>
      </c>
    </row>
    <row r="692" spans="1:10" x14ac:dyDescent="0.25">
      <c r="A692" t="s">
        <v>1304</v>
      </c>
      <c r="B692" s="1" t="s">
        <v>598</v>
      </c>
      <c r="C692">
        <v>7.5</v>
      </c>
      <c r="D692" s="72">
        <f>PRODUCTOS[[#This Row],[V/U VENTA]]*PRODUCTOS[[#This Row],[CANTIDAD]]</f>
        <v>7.5</v>
      </c>
      <c r="E692">
        <v>5</v>
      </c>
      <c r="F692">
        <v>10</v>
      </c>
      <c r="G692">
        <v>1</v>
      </c>
      <c r="H692">
        <v>1</v>
      </c>
      <c r="I692" t="s">
        <v>1319</v>
      </c>
      <c r="J692" s="72">
        <v>0</v>
      </c>
    </row>
    <row r="693" spans="1:10" x14ac:dyDescent="0.25">
      <c r="A693" t="s">
        <v>1305</v>
      </c>
      <c r="B693" s="1" t="s">
        <v>291</v>
      </c>
      <c r="C693">
        <v>0.4</v>
      </c>
      <c r="D693" s="72">
        <f>PRODUCTOS[[#This Row],[V/U VENTA]]*PRODUCTOS[[#This Row],[CANTIDAD]]</f>
        <v>21.200000000000003</v>
      </c>
      <c r="E693">
        <v>5</v>
      </c>
      <c r="F693">
        <v>10</v>
      </c>
      <c r="G693">
        <v>53</v>
      </c>
      <c r="H693">
        <v>1</v>
      </c>
      <c r="I693" t="s">
        <v>1319</v>
      </c>
      <c r="J693" s="72">
        <v>0</v>
      </c>
    </row>
    <row r="694" spans="1:10" x14ac:dyDescent="0.25">
      <c r="A694" t="s">
        <v>1306</v>
      </c>
      <c r="B694" s="1" t="s">
        <v>1519</v>
      </c>
      <c r="C694">
        <v>1.8</v>
      </c>
      <c r="D694" s="72">
        <f>PRODUCTOS[[#This Row],[V/U VENTA]]*PRODUCTOS[[#This Row],[CANTIDAD]]</f>
        <v>3.6</v>
      </c>
      <c r="E694">
        <v>5</v>
      </c>
      <c r="F694">
        <v>10</v>
      </c>
      <c r="G694">
        <v>2</v>
      </c>
      <c r="H694">
        <v>1</v>
      </c>
      <c r="I694" t="s">
        <v>1319</v>
      </c>
      <c r="J694" s="72">
        <v>0</v>
      </c>
    </row>
    <row r="695" spans="1:10" x14ac:dyDescent="0.25">
      <c r="A695" t="s">
        <v>1307</v>
      </c>
      <c r="B695" s="1" t="s">
        <v>389</v>
      </c>
      <c r="C695">
        <v>2.5</v>
      </c>
      <c r="D695" s="72">
        <f>PRODUCTOS[[#This Row],[V/U VENTA]]*PRODUCTOS[[#This Row],[CANTIDAD]]</f>
        <v>0</v>
      </c>
      <c r="E695">
        <v>5</v>
      </c>
      <c r="F695">
        <v>10</v>
      </c>
      <c r="G695">
        <v>0</v>
      </c>
      <c r="H695">
        <v>1</v>
      </c>
      <c r="I695" t="s">
        <v>1319</v>
      </c>
      <c r="J695" s="72">
        <v>0</v>
      </c>
    </row>
    <row r="696" spans="1:10" x14ac:dyDescent="0.25">
      <c r="A696" t="s">
        <v>1308</v>
      </c>
      <c r="B696" s="1" t="s">
        <v>184</v>
      </c>
      <c r="C696">
        <v>0.68</v>
      </c>
      <c r="D696" s="72">
        <f>PRODUCTOS[[#This Row],[V/U VENTA]]*PRODUCTOS[[#This Row],[CANTIDAD]]</f>
        <v>19.040000000000003</v>
      </c>
      <c r="E696">
        <v>5</v>
      </c>
      <c r="F696">
        <v>10</v>
      </c>
      <c r="G696">
        <v>28</v>
      </c>
      <c r="H696">
        <v>1</v>
      </c>
      <c r="I696" t="s">
        <v>1319</v>
      </c>
      <c r="J696" s="72">
        <v>0</v>
      </c>
    </row>
    <row r="697" spans="1:10" x14ac:dyDescent="0.25">
      <c r="A697" t="s">
        <v>1309</v>
      </c>
      <c r="B697" s="1" t="s">
        <v>422</v>
      </c>
      <c r="C697">
        <v>3.25</v>
      </c>
      <c r="D697" s="72">
        <f>PRODUCTOS[[#This Row],[V/U VENTA]]*PRODUCTOS[[#This Row],[CANTIDAD]]</f>
        <v>0</v>
      </c>
      <c r="E697">
        <v>5</v>
      </c>
      <c r="F697">
        <v>10</v>
      </c>
      <c r="G697">
        <v>0</v>
      </c>
      <c r="H697">
        <v>1</v>
      </c>
      <c r="I697" t="s">
        <v>1319</v>
      </c>
      <c r="J697" s="72">
        <v>0</v>
      </c>
    </row>
    <row r="698" spans="1:10" x14ac:dyDescent="0.25">
      <c r="A698" t="s">
        <v>1590</v>
      </c>
      <c r="B698" s="1" t="s">
        <v>465</v>
      </c>
      <c r="C698">
        <v>7</v>
      </c>
      <c r="D698" s="72">
        <f>PRODUCTOS[[#This Row],[V/U VENTA]]*PRODUCTOS[[#This Row],[CANTIDAD]]</f>
        <v>7</v>
      </c>
      <c r="E698">
        <v>5</v>
      </c>
      <c r="F698">
        <v>10</v>
      </c>
      <c r="G698">
        <v>1</v>
      </c>
      <c r="H698">
        <v>1</v>
      </c>
      <c r="I698" t="s">
        <v>1319</v>
      </c>
      <c r="J698" s="72">
        <v>0</v>
      </c>
    </row>
    <row r="699" spans="1:10" x14ac:dyDescent="0.25">
      <c r="A699" t="s">
        <v>1310</v>
      </c>
      <c r="B699" s="1" t="s">
        <v>590</v>
      </c>
      <c r="C699">
        <v>1.98</v>
      </c>
      <c r="D699" s="72">
        <f>PRODUCTOS[[#This Row],[V/U VENTA]]*PRODUCTOS[[#This Row],[CANTIDAD]]</f>
        <v>3.96</v>
      </c>
      <c r="E699">
        <v>5</v>
      </c>
      <c r="F699">
        <v>10</v>
      </c>
      <c r="G699">
        <v>2</v>
      </c>
      <c r="H699">
        <v>1</v>
      </c>
      <c r="I699" t="s">
        <v>1319</v>
      </c>
      <c r="J699" s="72">
        <v>0</v>
      </c>
    </row>
    <row r="700" spans="1:10" x14ac:dyDescent="0.25">
      <c r="A700" t="s">
        <v>1311</v>
      </c>
      <c r="B700" s="1" t="s">
        <v>1520</v>
      </c>
      <c r="C700">
        <v>3.5</v>
      </c>
      <c r="D700" s="72">
        <f>PRODUCTOS[[#This Row],[V/U VENTA]]*PRODUCTOS[[#This Row],[CANTIDAD]]</f>
        <v>10.5</v>
      </c>
      <c r="E700">
        <v>5</v>
      </c>
      <c r="F700">
        <v>10</v>
      </c>
      <c r="G700">
        <v>3</v>
      </c>
      <c r="H700">
        <v>1</v>
      </c>
      <c r="I700" t="s">
        <v>1319</v>
      </c>
      <c r="J700" s="72">
        <v>0</v>
      </c>
    </row>
    <row r="701" spans="1:10" x14ac:dyDescent="0.25">
      <c r="A701" t="s">
        <v>1312</v>
      </c>
      <c r="B701" s="1" t="s">
        <v>458</v>
      </c>
      <c r="C701">
        <v>0.6</v>
      </c>
      <c r="D701" s="72">
        <f>PRODUCTOS[[#This Row],[V/U VENTA]]*PRODUCTOS[[#This Row],[CANTIDAD]]</f>
        <v>9.6</v>
      </c>
      <c r="E701">
        <v>5</v>
      </c>
      <c r="F701">
        <v>10</v>
      </c>
      <c r="G701">
        <v>16</v>
      </c>
      <c r="H701">
        <v>1</v>
      </c>
      <c r="I701" t="s">
        <v>1319</v>
      </c>
      <c r="J701" s="72">
        <v>0</v>
      </c>
    </row>
    <row r="702" spans="1:10" x14ac:dyDescent="0.25">
      <c r="A702" t="s">
        <v>1313</v>
      </c>
      <c r="B702" s="1" t="s">
        <v>459</v>
      </c>
      <c r="C702">
        <v>4</v>
      </c>
      <c r="D702" s="72">
        <f>PRODUCTOS[[#This Row],[V/U VENTA]]*PRODUCTOS[[#This Row],[CANTIDAD]]</f>
        <v>0</v>
      </c>
      <c r="E702">
        <v>5</v>
      </c>
      <c r="F702">
        <v>10</v>
      </c>
      <c r="G702">
        <v>0</v>
      </c>
      <c r="H702">
        <v>1</v>
      </c>
      <c r="I702" t="s">
        <v>1320</v>
      </c>
      <c r="J702" s="72">
        <v>0</v>
      </c>
    </row>
    <row r="703" spans="1:10" x14ac:dyDescent="0.25">
      <c r="A703" t="s">
        <v>1314</v>
      </c>
      <c r="B703" s="1" t="s">
        <v>114</v>
      </c>
      <c r="C703">
        <v>0.6</v>
      </c>
      <c r="D703" s="72">
        <f>PRODUCTOS[[#This Row],[V/U VENTA]]*PRODUCTOS[[#This Row],[CANTIDAD]]</f>
        <v>0.6</v>
      </c>
      <c r="E703">
        <v>5</v>
      </c>
      <c r="F703">
        <v>10</v>
      </c>
      <c r="G703">
        <v>1</v>
      </c>
      <c r="H703">
        <v>1</v>
      </c>
      <c r="I703" t="s">
        <v>1319</v>
      </c>
      <c r="J703" s="72">
        <v>0</v>
      </c>
    </row>
    <row r="704" spans="1:10" x14ac:dyDescent="0.25">
      <c r="A704" t="s">
        <v>1315</v>
      </c>
      <c r="B704" s="1" t="s">
        <v>76</v>
      </c>
      <c r="C704">
        <v>1.8</v>
      </c>
      <c r="D704" s="72">
        <f>PRODUCTOS[[#This Row],[V/U VENTA]]*PRODUCTOS[[#This Row],[CANTIDAD]]</f>
        <v>82.8</v>
      </c>
      <c r="E704">
        <v>5</v>
      </c>
      <c r="F704">
        <v>10</v>
      </c>
      <c r="G704">
        <v>46</v>
      </c>
      <c r="H704">
        <v>1</v>
      </c>
      <c r="I704" t="s">
        <v>1320</v>
      </c>
      <c r="J704" s="72">
        <v>0</v>
      </c>
    </row>
    <row r="705" spans="1:10" x14ac:dyDescent="0.25">
      <c r="A705" t="s">
        <v>1317</v>
      </c>
      <c r="B705" s="1" t="s">
        <v>77</v>
      </c>
      <c r="C705">
        <v>2.2999999999999998</v>
      </c>
      <c r="D705" s="72">
        <f>PRODUCTOS[[#This Row],[V/U VENTA]]*PRODUCTOS[[#This Row],[CANTIDAD]]</f>
        <v>0</v>
      </c>
      <c r="E705">
        <v>5</v>
      </c>
      <c r="F705">
        <v>10</v>
      </c>
      <c r="G705">
        <v>0</v>
      </c>
      <c r="H705">
        <v>1</v>
      </c>
      <c r="I705" t="s">
        <v>1320</v>
      </c>
      <c r="J705" s="72">
        <v>0</v>
      </c>
    </row>
    <row r="706" spans="1:10" x14ac:dyDescent="0.25">
      <c r="A706" t="s">
        <v>1368</v>
      </c>
      <c r="B706" s="1" t="s">
        <v>441</v>
      </c>
      <c r="C706">
        <v>5</v>
      </c>
      <c r="D706" s="72">
        <f>PRODUCTOS[[#This Row],[V/U VENTA]]*PRODUCTOS[[#This Row],[CANTIDAD]]</f>
        <v>0</v>
      </c>
      <c r="E706">
        <v>5</v>
      </c>
      <c r="F706">
        <v>10</v>
      </c>
      <c r="G706">
        <v>0</v>
      </c>
      <c r="H706">
        <v>1</v>
      </c>
      <c r="I706" t="s">
        <v>1320</v>
      </c>
      <c r="J706" s="72">
        <v>0</v>
      </c>
    </row>
    <row r="707" spans="1:10" x14ac:dyDescent="0.25">
      <c r="A707" t="s">
        <v>1369</v>
      </c>
      <c r="B707" s="1" t="s">
        <v>209</v>
      </c>
      <c r="C707">
        <v>0.4</v>
      </c>
      <c r="D707" s="72">
        <f>PRODUCTOS[[#This Row],[V/U VENTA]]*PRODUCTOS[[#This Row],[CANTIDAD]]</f>
        <v>14.4</v>
      </c>
      <c r="E707">
        <v>5</v>
      </c>
      <c r="F707">
        <v>10</v>
      </c>
      <c r="G707">
        <v>36</v>
      </c>
      <c r="H707">
        <v>1</v>
      </c>
      <c r="I707" t="s">
        <v>1320</v>
      </c>
      <c r="J707" s="72">
        <v>0</v>
      </c>
    </row>
    <row r="708" spans="1:10" x14ac:dyDescent="0.25">
      <c r="A708" t="s">
        <v>1371</v>
      </c>
      <c r="B708" s="1" t="s">
        <v>214</v>
      </c>
      <c r="C708">
        <v>0.62</v>
      </c>
      <c r="D708" s="72">
        <f>PRODUCTOS[[#This Row],[V/U VENTA]]*PRODUCTOS[[#This Row],[CANTIDAD]]</f>
        <v>0.62</v>
      </c>
      <c r="E708">
        <v>5</v>
      </c>
      <c r="F708">
        <v>10</v>
      </c>
      <c r="G708">
        <v>1</v>
      </c>
      <c r="H708">
        <v>1</v>
      </c>
      <c r="I708" t="s">
        <v>1320</v>
      </c>
      <c r="J708" s="72">
        <v>0</v>
      </c>
    </row>
    <row r="709" spans="1:10" x14ac:dyDescent="0.25">
      <c r="A709" t="s">
        <v>1372</v>
      </c>
      <c r="B709" s="1" t="s">
        <v>151</v>
      </c>
      <c r="C709">
        <v>0.45</v>
      </c>
      <c r="D709" s="72">
        <f>PRODUCTOS[[#This Row],[V/U VENTA]]*PRODUCTOS[[#This Row],[CANTIDAD]]</f>
        <v>0</v>
      </c>
      <c r="E709">
        <v>5</v>
      </c>
      <c r="F709">
        <v>10</v>
      </c>
      <c r="G709">
        <v>0</v>
      </c>
      <c r="H709">
        <v>1</v>
      </c>
      <c r="I709" t="s">
        <v>1320</v>
      </c>
      <c r="J709" s="72">
        <v>0</v>
      </c>
    </row>
    <row r="710" spans="1:10" x14ac:dyDescent="0.25">
      <c r="A710" t="s">
        <v>1375</v>
      </c>
      <c r="B710" s="1" t="s">
        <v>151</v>
      </c>
      <c r="C710">
        <v>0.45</v>
      </c>
      <c r="D710" s="72">
        <f>PRODUCTOS[[#This Row],[V/U VENTA]]*PRODUCTOS[[#This Row],[CANTIDAD]]</f>
        <v>34.200000000000003</v>
      </c>
      <c r="E710">
        <v>5</v>
      </c>
      <c r="F710">
        <v>10</v>
      </c>
      <c r="G710">
        <v>76</v>
      </c>
      <c r="H710">
        <v>1</v>
      </c>
      <c r="I710" t="s">
        <v>1320</v>
      </c>
      <c r="J710" s="72">
        <v>0</v>
      </c>
    </row>
    <row r="711" spans="1:10" x14ac:dyDescent="0.25">
      <c r="A711" t="s">
        <v>1591</v>
      </c>
      <c r="B711" s="1" t="s">
        <v>244</v>
      </c>
      <c r="C711">
        <v>0.35</v>
      </c>
      <c r="D711" s="72">
        <f>PRODUCTOS[[#This Row],[V/U VENTA]]*PRODUCTOS[[#This Row],[CANTIDAD]]</f>
        <v>12.95</v>
      </c>
      <c r="E711">
        <v>5</v>
      </c>
      <c r="F711">
        <v>10</v>
      </c>
      <c r="G711">
        <v>37</v>
      </c>
      <c r="H711">
        <v>1</v>
      </c>
      <c r="I711" t="s">
        <v>1320</v>
      </c>
      <c r="J711" s="72">
        <v>0</v>
      </c>
    </row>
    <row r="712" spans="1:10" x14ac:dyDescent="0.25">
      <c r="A712" t="s">
        <v>1592</v>
      </c>
      <c r="B712" s="1" t="s">
        <v>135</v>
      </c>
      <c r="C712">
        <v>2</v>
      </c>
      <c r="D712" s="72">
        <f>PRODUCTOS[[#This Row],[V/U VENTA]]*PRODUCTOS[[#This Row],[CANTIDAD]]</f>
        <v>0</v>
      </c>
      <c r="E712">
        <v>5</v>
      </c>
      <c r="F712">
        <v>10</v>
      </c>
      <c r="G712">
        <v>0</v>
      </c>
      <c r="H712">
        <v>1</v>
      </c>
      <c r="I712" t="s">
        <v>1320</v>
      </c>
      <c r="J712" s="72">
        <v>0</v>
      </c>
    </row>
    <row r="713" spans="1:10" x14ac:dyDescent="0.25">
      <c r="A713" t="s">
        <v>1593</v>
      </c>
      <c r="B713" s="1" t="s">
        <v>338</v>
      </c>
      <c r="C713">
        <v>0.7</v>
      </c>
      <c r="D713" s="72">
        <f>PRODUCTOS[[#This Row],[V/U VENTA]]*PRODUCTOS[[#This Row],[CANTIDAD]]</f>
        <v>0</v>
      </c>
      <c r="E713">
        <v>5</v>
      </c>
      <c r="F713">
        <v>10</v>
      </c>
      <c r="G713">
        <v>0</v>
      </c>
      <c r="H713">
        <v>1</v>
      </c>
      <c r="I713" t="s">
        <v>1320</v>
      </c>
      <c r="J713" s="72">
        <v>0</v>
      </c>
    </row>
    <row r="714" spans="1:10" x14ac:dyDescent="0.25">
      <c r="A714" t="s">
        <v>1594</v>
      </c>
      <c r="B714" s="1" t="s">
        <v>81</v>
      </c>
      <c r="C714">
        <v>4.1399999999999997</v>
      </c>
      <c r="D714" s="72">
        <f>PRODUCTOS[[#This Row],[V/U VENTA]]*PRODUCTOS[[#This Row],[CANTIDAD]]</f>
        <v>0</v>
      </c>
      <c r="E714">
        <v>5</v>
      </c>
      <c r="F714">
        <v>10</v>
      </c>
      <c r="G714"/>
      <c r="H714">
        <v>1</v>
      </c>
      <c r="I714" t="s">
        <v>1320</v>
      </c>
      <c r="J714" s="72">
        <v>0</v>
      </c>
    </row>
    <row r="715" spans="1:10" x14ac:dyDescent="0.25">
      <c r="A715" t="s">
        <v>1595</v>
      </c>
      <c r="B715" s="1" t="s">
        <v>602</v>
      </c>
      <c r="C715">
        <v>3.89</v>
      </c>
      <c r="D715" s="72">
        <f>PRODUCTOS[[#This Row],[V/U VENTA]]*PRODUCTOS[[#This Row],[CANTIDAD]]</f>
        <v>3.89</v>
      </c>
      <c r="E715">
        <v>5</v>
      </c>
      <c r="F715">
        <v>10</v>
      </c>
      <c r="G715">
        <v>1</v>
      </c>
      <c r="H715">
        <v>1</v>
      </c>
      <c r="I715" t="s">
        <v>1320</v>
      </c>
      <c r="J715" s="72">
        <v>0</v>
      </c>
    </row>
    <row r="716" spans="1:10" x14ac:dyDescent="0.25">
      <c r="A716" t="s">
        <v>1596</v>
      </c>
      <c r="B716" s="1" t="s">
        <v>111</v>
      </c>
      <c r="C716">
        <v>1.25</v>
      </c>
      <c r="D716" s="72">
        <f>PRODUCTOS[[#This Row],[V/U VENTA]]*PRODUCTOS[[#This Row],[CANTIDAD]]</f>
        <v>6.25</v>
      </c>
      <c r="E716">
        <v>5</v>
      </c>
      <c r="F716">
        <v>10</v>
      </c>
      <c r="G716">
        <v>5</v>
      </c>
      <c r="H716">
        <v>1</v>
      </c>
      <c r="I716" t="s">
        <v>1320</v>
      </c>
      <c r="J716" s="72">
        <v>0</v>
      </c>
    </row>
    <row r="717" spans="1:10" x14ac:dyDescent="0.25">
      <c r="A717" t="s">
        <v>1597</v>
      </c>
      <c r="B717" s="1" t="s">
        <v>586</v>
      </c>
      <c r="C717">
        <v>1.7</v>
      </c>
      <c r="D717" s="72">
        <f>PRODUCTOS[[#This Row],[V/U VENTA]]*PRODUCTOS[[#This Row],[CANTIDAD]]</f>
        <v>3.4</v>
      </c>
      <c r="E717">
        <v>5</v>
      </c>
      <c r="F717">
        <v>10</v>
      </c>
      <c r="G717">
        <v>2</v>
      </c>
      <c r="H717">
        <v>1</v>
      </c>
      <c r="I717" t="s">
        <v>1320</v>
      </c>
      <c r="J717" s="72">
        <v>0</v>
      </c>
    </row>
    <row r="718" spans="1:10" x14ac:dyDescent="0.25">
      <c r="A718" t="s">
        <v>1598</v>
      </c>
      <c r="B718" s="1" t="s">
        <v>1801</v>
      </c>
      <c r="C718">
        <v>5.5</v>
      </c>
      <c r="D718" s="72">
        <f>PRODUCTOS[[#This Row],[V/U VENTA]]*PRODUCTOS[[#This Row],[CANTIDAD]]</f>
        <v>5.5</v>
      </c>
      <c r="E718">
        <v>5</v>
      </c>
      <c r="F718">
        <v>10</v>
      </c>
      <c r="G718">
        <v>1</v>
      </c>
      <c r="H718">
        <v>1</v>
      </c>
      <c r="I718" t="s">
        <v>1320</v>
      </c>
      <c r="J718" s="72">
        <v>0</v>
      </c>
    </row>
    <row r="719" spans="1:10" x14ac:dyDescent="0.25">
      <c r="A719" t="s">
        <v>1599</v>
      </c>
      <c r="B719" s="1" t="s">
        <v>105</v>
      </c>
      <c r="C719">
        <v>3.4</v>
      </c>
      <c r="D719" s="72">
        <f>PRODUCTOS[[#This Row],[V/U VENTA]]*PRODUCTOS[[#This Row],[CANTIDAD]]</f>
        <v>0</v>
      </c>
      <c r="E719">
        <v>5</v>
      </c>
      <c r="F719">
        <v>10</v>
      </c>
      <c r="G719">
        <v>0</v>
      </c>
      <c r="H719">
        <v>1</v>
      </c>
      <c r="I719" t="s">
        <v>1320</v>
      </c>
      <c r="J719" s="72">
        <v>0</v>
      </c>
    </row>
    <row r="720" spans="1:10" x14ac:dyDescent="0.25">
      <c r="A720" t="s">
        <v>1600</v>
      </c>
      <c r="B720" s="1" t="s">
        <v>588</v>
      </c>
      <c r="C720">
        <v>1.5</v>
      </c>
      <c r="D720" s="72">
        <f>PRODUCTOS[[#This Row],[V/U VENTA]]*PRODUCTOS[[#This Row],[CANTIDAD]]</f>
        <v>0</v>
      </c>
      <c r="E720">
        <v>5</v>
      </c>
      <c r="F720">
        <v>10</v>
      </c>
      <c r="G720">
        <v>0</v>
      </c>
      <c r="H720">
        <v>1</v>
      </c>
      <c r="I720" t="s">
        <v>1320</v>
      </c>
      <c r="J720" s="72">
        <v>0</v>
      </c>
    </row>
    <row r="721" spans="1:10" x14ac:dyDescent="0.25">
      <c r="A721" t="s">
        <v>1601</v>
      </c>
      <c r="B721" s="1" t="s">
        <v>339</v>
      </c>
      <c r="C721">
        <v>3.25</v>
      </c>
      <c r="D721" s="72">
        <f>PRODUCTOS[[#This Row],[V/U VENTA]]*PRODUCTOS[[#This Row],[CANTIDAD]]</f>
        <v>0</v>
      </c>
      <c r="E721">
        <v>5</v>
      </c>
      <c r="F721">
        <v>10</v>
      </c>
      <c r="G721">
        <v>0</v>
      </c>
      <c r="H721">
        <v>1</v>
      </c>
      <c r="I721" t="s">
        <v>1320</v>
      </c>
      <c r="J721" s="72">
        <v>0</v>
      </c>
    </row>
    <row r="722" spans="1:10" x14ac:dyDescent="0.25">
      <c r="A722" t="s">
        <v>1602</v>
      </c>
      <c r="B722" s="1" t="s">
        <v>174</v>
      </c>
      <c r="C722">
        <v>2.7</v>
      </c>
      <c r="D722" s="72">
        <f>PRODUCTOS[[#This Row],[V/U VENTA]]*PRODUCTOS[[#This Row],[CANTIDAD]]</f>
        <v>16.200000000000003</v>
      </c>
      <c r="E722">
        <v>5</v>
      </c>
      <c r="F722">
        <v>10</v>
      </c>
      <c r="G722">
        <v>6</v>
      </c>
      <c r="H722">
        <v>1</v>
      </c>
      <c r="I722" t="s">
        <v>1320</v>
      </c>
      <c r="J722" s="72">
        <v>0</v>
      </c>
    </row>
    <row r="723" spans="1:10" x14ac:dyDescent="0.25">
      <c r="A723" t="s">
        <v>1603</v>
      </c>
      <c r="B723" s="1" t="s">
        <v>1521</v>
      </c>
      <c r="C723">
        <v>2</v>
      </c>
      <c r="D723" s="72">
        <f>PRODUCTOS[[#This Row],[V/U VENTA]]*PRODUCTOS[[#This Row],[CANTIDAD]]</f>
        <v>1974</v>
      </c>
      <c r="E723">
        <v>5</v>
      </c>
      <c r="F723">
        <v>10</v>
      </c>
      <c r="G723">
        <v>987</v>
      </c>
      <c r="H723">
        <v>1</v>
      </c>
      <c r="I723" t="s">
        <v>1320</v>
      </c>
      <c r="J723" s="72">
        <v>0</v>
      </c>
    </row>
    <row r="724" spans="1:10" x14ac:dyDescent="0.25">
      <c r="A724" t="s">
        <v>1604</v>
      </c>
      <c r="B724" s="1" t="s">
        <v>450</v>
      </c>
      <c r="C724">
        <v>19.399999999999999</v>
      </c>
      <c r="D724" s="72">
        <f>PRODUCTOS[[#This Row],[V/U VENTA]]*PRODUCTOS[[#This Row],[CANTIDAD]]</f>
        <v>19.399999999999999</v>
      </c>
      <c r="E724">
        <v>5</v>
      </c>
      <c r="F724">
        <v>10</v>
      </c>
      <c r="G724">
        <v>1</v>
      </c>
      <c r="H724">
        <v>1</v>
      </c>
      <c r="I724" t="s">
        <v>1320</v>
      </c>
      <c r="J724" s="72">
        <v>0</v>
      </c>
    </row>
    <row r="725" spans="1:10" x14ac:dyDescent="0.25">
      <c r="A725" t="s">
        <v>1605</v>
      </c>
      <c r="B725" s="1" t="s">
        <v>454</v>
      </c>
      <c r="C725">
        <v>15</v>
      </c>
      <c r="D725" s="72">
        <f>PRODUCTOS[[#This Row],[V/U VENTA]]*PRODUCTOS[[#This Row],[CANTIDAD]]</f>
        <v>15</v>
      </c>
      <c r="E725">
        <v>5</v>
      </c>
      <c r="F725">
        <v>10</v>
      </c>
      <c r="G725">
        <v>1</v>
      </c>
      <c r="H725">
        <v>1</v>
      </c>
      <c r="I725" t="s">
        <v>1320</v>
      </c>
      <c r="J725" s="72">
        <v>0</v>
      </c>
    </row>
    <row r="726" spans="1:10" x14ac:dyDescent="0.25">
      <c r="A726" t="s">
        <v>1606</v>
      </c>
      <c r="B726" s="1" t="s">
        <v>1802</v>
      </c>
      <c r="C726">
        <v>0.5</v>
      </c>
      <c r="D726" s="72">
        <f>PRODUCTOS[[#This Row],[V/U VENTA]]*PRODUCTOS[[#This Row],[CANTIDAD]]</f>
        <v>47.5</v>
      </c>
      <c r="E726">
        <v>5</v>
      </c>
      <c r="F726">
        <v>10</v>
      </c>
      <c r="G726">
        <v>95</v>
      </c>
      <c r="H726">
        <v>1</v>
      </c>
      <c r="I726" t="s">
        <v>1320</v>
      </c>
      <c r="J726" s="72">
        <v>0</v>
      </c>
    </row>
    <row r="727" spans="1:10" x14ac:dyDescent="0.25">
      <c r="A727" t="s">
        <v>1607</v>
      </c>
      <c r="B727" s="1" t="s">
        <v>1803</v>
      </c>
      <c r="C727">
        <v>0.5</v>
      </c>
      <c r="D727" s="72">
        <f>PRODUCTOS[[#This Row],[V/U VENTA]]*PRODUCTOS[[#This Row],[CANTIDAD]]</f>
        <v>46</v>
      </c>
      <c r="E727">
        <v>5</v>
      </c>
      <c r="F727">
        <v>10</v>
      </c>
      <c r="G727">
        <v>92</v>
      </c>
      <c r="H727">
        <v>1</v>
      </c>
      <c r="I727" t="s">
        <v>1320</v>
      </c>
      <c r="J727" s="72">
        <v>0</v>
      </c>
    </row>
    <row r="728" spans="1:10" x14ac:dyDescent="0.25">
      <c r="A728" t="s">
        <v>1608</v>
      </c>
      <c r="B728" s="1" t="s">
        <v>219</v>
      </c>
      <c r="C728">
        <v>0.5</v>
      </c>
      <c r="D728" s="72">
        <f>PRODUCTOS[[#This Row],[V/U VENTA]]*PRODUCTOS[[#This Row],[CANTIDAD]]</f>
        <v>5</v>
      </c>
      <c r="E728">
        <v>5</v>
      </c>
      <c r="F728">
        <v>10</v>
      </c>
      <c r="G728">
        <v>10</v>
      </c>
      <c r="H728">
        <v>1</v>
      </c>
      <c r="I728" t="s">
        <v>1320</v>
      </c>
      <c r="J728" s="72">
        <v>0</v>
      </c>
    </row>
    <row r="729" spans="1:10" x14ac:dyDescent="0.25">
      <c r="A729" t="s">
        <v>1609</v>
      </c>
      <c r="B729" s="1" t="s">
        <v>178</v>
      </c>
      <c r="C729">
        <v>0.23</v>
      </c>
      <c r="D729" s="72">
        <f>PRODUCTOS[[#This Row],[V/U VENTA]]*PRODUCTOS[[#This Row],[CANTIDAD]]</f>
        <v>0</v>
      </c>
      <c r="E729">
        <v>5</v>
      </c>
      <c r="F729">
        <v>10</v>
      </c>
      <c r="G729">
        <v>0</v>
      </c>
      <c r="H729">
        <v>1</v>
      </c>
      <c r="I729" t="s">
        <v>1320</v>
      </c>
      <c r="J729" s="72">
        <v>0</v>
      </c>
    </row>
    <row r="730" spans="1:10" x14ac:dyDescent="0.25">
      <c r="A730" t="s">
        <v>1610</v>
      </c>
      <c r="B730" s="1" t="s">
        <v>462</v>
      </c>
      <c r="C730">
        <v>8.5</v>
      </c>
      <c r="D730" s="72">
        <f>PRODUCTOS[[#This Row],[V/U VENTA]]*PRODUCTOS[[#This Row],[CANTIDAD]]</f>
        <v>8.5</v>
      </c>
      <c r="E730">
        <v>5</v>
      </c>
      <c r="F730">
        <v>10</v>
      </c>
      <c r="G730">
        <v>1</v>
      </c>
      <c r="H730">
        <v>1</v>
      </c>
      <c r="I730" t="s">
        <v>1320</v>
      </c>
      <c r="J730" s="72">
        <v>0</v>
      </c>
    </row>
    <row r="731" spans="1:10" x14ac:dyDescent="0.25">
      <c r="A731" t="s">
        <v>1611</v>
      </c>
      <c r="B731" s="1" t="s">
        <v>1522</v>
      </c>
      <c r="C731">
        <v>8.75</v>
      </c>
      <c r="D731" s="72">
        <f>PRODUCTOS[[#This Row],[V/U VENTA]]*PRODUCTOS[[#This Row],[CANTIDAD]]</f>
        <v>8.75</v>
      </c>
      <c r="E731">
        <v>5</v>
      </c>
      <c r="F731">
        <v>10</v>
      </c>
      <c r="G731">
        <v>1</v>
      </c>
      <c r="H731">
        <v>1</v>
      </c>
      <c r="I731" t="s">
        <v>1320</v>
      </c>
      <c r="J731" s="72">
        <v>0</v>
      </c>
    </row>
    <row r="732" spans="1:10" x14ac:dyDescent="0.25">
      <c r="A732" t="s">
        <v>1612</v>
      </c>
      <c r="B732" s="1" t="s">
        <v>1523</v>
      </c>
      <c r="C732">
        <v>12.4</v>
      </c>
      <c r="D732" s="72">
        <f>PRODUCTOS[[#This Row],[V/U VENTA]]*PRODUCTOS[[#This Row],[CANTIDAD]]</f>
        <v>0</v>
      </c>
      <c r="E732">
        <v>5</v>
      </c>
      <c r="F732">
        <v>10</v>
      </c>
      <c r="G732">
        <v>0</v>
      </c>
      <c r="H732">
        <v>1</v>
      </c>
      <c r="I732" t="s">
        <v>1320</v>
      </c>
      <c r="J732" s="72">
        <v>0</v>
      </c>
    </row>
    <row r="733" spans="1:10" x14ac:dyDescent="0.25">
      <c r="A733" t="s">
        <v>1613</v>
      </c>
      <c r="B733" s="1" t="s">
        <v>222</v>
      </c>
      <c r="C733">
        <v>12.43</v>
      </c>
      <c r="D733" s="72">
        <f>PRODUCTOS[[#This Row],[V/U VENTA]]*PRODUCTOS[[#This Row],[CANTIDAD]]</f>
        <v>12.43</v>
      </c>
      <c r="E733">
        <v>5</v>
      </c>
      <c r="F733">
        <v>10</v>
      </c>
      <c r="G733">
        <v>1</v>
      </c>
      <c r="H733">
        <v>1</v>
      </c>
      <c r="I733" t="s">
        <v>1320</v>
      </c>
      <c r="J733" s="72">
        <v>0</v>
      </c>
    </row>
    <row r="734" spans="1:10" x14ac:dyDescent="0.25">
      <c r="A734" t="s">
        <v>1614</v>
      </c>
      <c r="B734" s="1" t="s">
        <v>1524</v>
      </c>
      <c r="C734">
        <v>12.5</v>
      </c>
      <c r="D734" s="72">
        <f>PRODUCTOS[[#This Row],[V/U VENTA]]*PRODUCTOS[[#This Row],[CANTIDAD]]</f>
        <v>12.5</v>
      </c>
      <c r="E734">
        <v>5</v>
      </c>
      <c r="F734">
        <v>10</v>
      </c>
      <c r="G734">
        <v>1</v>
      </c>
      <c r="H734">
        <v>1</v>
      </c>
      <c r="I734" t="s">
        <v>1320</v>
      </c>
      <c r="J734" s="72">
        <v>0</v>
      </c>
    </row>
    <row r="735" spans="1:10" x14ac:dyDescent="0.25">
      <c r="A735" t="s">
        <v>1615</v>
      </c>
      <c r="B735" s="1" t="s">
        <v>1525</v>
      </c>
      <c r="C735">
        <v>11</v>
      </c>
      <c r="D735" s="72">
        <f>PRODUCTOS[[#This Row],[V/U VENTA]]*PRODUCTOS[[#This Row],[CANTIDAD]]</f>
        <v>11</v>
      </c>
      <c r="E735">
        <v>5</v>
      </c>
      <c r="F735">
        <v>10</v>
      </c>
      <c r="G735">
        <v>1</v>
      </c>
      <c r="H735">
        <v>1</v>
      </c>
      <c r="I735" t="s">
        <v>1320</v>
      </c>
      <c r="J735" s="72">
        <v>0</v>
      </c>
    </row>
    <row r="736" spans="1:10" x14ac:dyDescent="0.25">
      <c r="A736" t="s">
        <v>1616</v>
      </c>
      <c r="B736" s="1" t="s">
        <v>601</v>
      </c>
      <c r="C736">
        <v>2.9</v>
      </c>
      <c r="D736" s="72">
        <f>PRODUCTOS[[#This Row],[V/U VENTA]]*PRODUCTOS[[#This Row],[CANTIDAD]]</f>
        <v>0</v>
      </c>
      <c r="E736">
        <v>5</v>
      </c>
      <c r="F736">
        <v>10</v>
      </c>
      <c r="G736">
        <v>0</v>
      </c>
      <c r="H736">
        <v>1</v>
      </c>
      <c r="I736" t="s">
        <v>1320</v>
      </c>
      <c r="J736" s="72">
        <v>0</v>
      </c>
    </row>
    <row r="737" spans="1:10" x14ac:dyDescent="0.25">
      <c r="A737" t="s">
        <v>1617</v>
      </c>
      <c r="B737" s="1" t="s">
        <v>604</v>
      </c>
      <c r="C737">
        <v>2.79</v>
      </c>
      <c r="D737" s="72">
        <f>PRODUCTOS[[#This Row],[V/U VENTA]]*PRODUCTOS[[#This Row],[CANTIDAD]]</f>
        <v>2.79</v>
      </c>
      <c r="E737">
        <v>5</v>
      </c>
      <c r="F737">
        <v>10</v>
      </c>
      <c r="G737">
        <v>1</v>
      </c>
      <c r="H737">
        <v>1</v>
      </c>
      <c r="I737" t="s">
        <v>1320</v>
      </c>
      <c r="J737" s="72">
        <v>0</v>
      </c>
    </row>
    <row r="738" spans="1:10" x14ac:dyDescent="0.25">
      <c r="A738" t="s">
        <v>1618</v>
      </c>
      <c r="B738" s="1" t="s">
        <v>437</v>
      </c>
      <c r="C738">
        <v>4.8</v>
      </c>
      <c r="D738" s="72">
        <f>PRODUCTOS[[#This Row],[V/U VENTA]]*PRODUCTOS[[#This Row],[CANTIDAD]]</f>
        <v>0</v>
      </c>
      <c r="E738">
        <v>5</v>
      </c>
      <c r="F738">
        <v>10</v>
      </c>
      <c r="G738">
        <v>0</v>
      </c>
      <c r="H738">
        <v>1</v>
      </c>
      <c r="I738" t="s">
        <v>1320</v>
      </c>
      <c r="J738" s="72">
        <v>0</v>
      </c>
    </row>
    <row r="739" spans="1:10" x14ac:dyDescent="0.25">
      <c r="A739" t="s">
        <v>1619</v>
      </c>
      <c r="B739" s="1" t="s">
        <v>591</v>
      </c>
      <c r="C739">
        <v>8</v>
      </c>
      <c r="D739" s="72">
        <f>PRODUCTOS[[#This Row],[V/U VENTA]]*PRODUCTOS[[#This Row],[CANTIDAD]]</f>
        <v>8</v>
      </c>
      <c r="E739">
        <v>5</v>
      </c>
      <c r="F739">
        <v>10</v>
      </c>
      <c r="G739">
        <v>1</v>
      </c>
      <c r="H739">
        <v>1</v>
      </c>
      <c r="I739" t="s">
        <v>1320</v>
      </c>
      <c r="J739" s="72">
        <v>0</v>
      </c>
    </row>
    <row r="740" spans="1:10" x14ac:dyDescent="0.25">
      <c r="A740" t="s">
        <v>1620</v>
      </c>
      <c r="B740" s="1" t="s">
        <v>478</v>
      </c>
      <c r="C740">
        <v>3.25</v>
      </c>
      <c r="D740" s="72">
        <f>PRODUCTOS[[#This Row],[V/U VENTA]]*PRODUCTOS[[#This Row],[CANTIDAD]]</f>
        <v>3.25</v>
      </c>
      <c r="E740">
        <v>5</v>
      </c>
      <c r="F740">
        <v>10</v>
      </c>
      <c r="G740">
        <v>1</v>
      </c>
      <c r="H740">
        <v>1</v>
      </c>
      <c r="I740" t="s">
        <v>1320</v>
      </c>
      <c r="J740" s="72">
        <v>0</v>
      </c>
    </row>
    <row r="741" spans="1:10" x14ac:dyDescent="0.25">
      <c r="A741" t="s">
        <v>1621</v>
      </c>
      <c r="B741" s="1" t="s">
        <v>58</v>
      </c>
      <c r="C741">
        <v>1.05</v>
      </c>
      <c r="D741" s="72">
        <f>PRODUCTOS[[#This Row],[V/U VENTA]]*PRODUCTOS[[#This Row],[CANTIDAD]]</f>
        <v>18.900000000000002</v>
      </c>
      <c r="E741">
        <v>5</v>
      </c>
      <c r="F741">
        <v>10</v>
      </c>
      <c r="G741">
        <v>18</v>
      </c>
      <c r="H741">
        <v>1</v>
      </c>
      <c r="I741" t="s">
        <v>1320</v>
      </c>
      <c r="J741" s="72">
        <v>0</v>
      </c>
    </row>
    <row r="742" spans="1:10" x14ac:dyDescent="0.25">
      <c r="A742" t="s">
        <v>1622</v>
      </c>
      <c r="B742" s="1" t="s">
        <v>451</v>
      </c>
      <c r="C742">
        <v>17.2</v>
      </c>
      <c r="D742" s="72">
        <f>PRODUCTOS[[#This Row],[V/U VENTA]]*PRODUCTOS[[#This Row],[CANTIDAD]]</f>
        <v>0</v>
      </c>
      <c r="E742">
        <v>5</v>
      </c>
      <c r="F742">
        <v>10</v>
      </c>
      <c r="G742">
        <v>0</v>
      </c>
      <c r="H742">
        <v>1</v>
      </c>
      <c r="I742" t="s">
        <v>1320</v>
      </c>
      <c r="J742" s="72">
        <v>0</v>
      </c>
    </row>
    <row r="743" spans="1:10" x14ac:dyDescent="0.25">
      <c r="A743" t="s">
        <v>1623</v>
      </c>
      <c r="B743" s="1" t="s">
        <v>448</v>
      </c>
      <c r="C743">
        <v>7</v>
      </c>
      <c r="D743" s="72">
        <f>PRODUCTOS[[#This Row],[V/U VENTA]]*PRODUCTOS[[#This Row],[CANTIDAD]]</f>
        <v>14</v>
      </c>
      <c r="E743">
        <v>5</v>
      </c>
      <c r="F743">
        <v>10</v>
      </c>
      <c r="G743">
        <v>2</v>
      </c>
      <c r="H743">
        <v>1</v>
      </c>
      <c r="I743" t="s">
        <v>1320</v>
      </c>
      <c r="J743" s="72">
        <v>0</v>
      </c>
    </row>
    <row r="744" spans="1:10" x14ac:dyDescent="0.25">
      <c r="A744" t="s">
        <v>1624</v>
      </c>
      <c r="B744" s="1" t="s">
        <v>285</v>
      </c>
      <c r="C744">
        <v>0.7</v>
      </c>
      <c r="D744" s="72">
        <f>PRODUCTOS[[#This Row],[V/U VENTA]]*PRODUCTOS[[#This Row],[CANTIDAD]]</f>
        <v>3.5</v>
      </c>
      <c r="E744">
        <v>5</v>
      </c>
      <c r="F744">
        <v>10</v>
      </c>
      <c r="G744">
        <v>5</v>
      </c>
      <c r="H744">
        <v>1</v>
      </c>
      <c r="I744" t="s">
        <v>1320</v>
      </c>
      <c r="J744" s="72">
        <v>0</v>
      </c>
    </row>
    <row r="745" spans="1:10" x14ac:dyDescent="0.25">
      <c r="A745" t="s">
        <v>1625</v>
      </c>
      <c r="B745" s="1" t="s">
        <v>1804</v>
      </c>
      <c r="C745">
        <v>6</v>
      </c>
      <c r="D745" s="72">
        <f>PRODUCTOS[[#This Row],[V/U VENTA]]*PRODUCTOS[[#This Row],[CANTIDAD]]</f>
        <v>0</v>
      </c>
      <c r="E745">
        <v>5</v>
      </c>
      <c r="F745">
        <v>10</v>
      </c>
      <c r="G745">
        <v>0</v>
      </c>
      <c r="H745">
        <v>1</v>
      </c>
      <c r="I745" t="s">
        <v>1320</v>
      </c>
      <c r="J745" s="72">
        <v>0</v>
      </c>
    </row>
    <row r="746" spans="1:10" x14ac:dyDescent="0.25">
      <c r="A746" t="s">
        <v>1626</v>
      </c>
      <c r="B746" s="1" t="s">
        <v>199</v>
      </c>
      <c r="C746">
        <v>0.62</v>
      </c>
      <c r="D746" s="72">
        <f>PRODUCTOS[[#This Row],[V/U VENTA]]*PRODUCTOS[[#This Row],[CANTIDAD]]</f>
        <v>0</v>
      </c>
      <c r="E746">
        <v>5</v>
      </c>
      <c r="F746">
        <v>10</v>
      </c>
      <c r="G746">
        <v>0</v>
      </c>
      <c r="H746">
        <v>1</v>
      </c>
      <c r="I746" t="s">
        <v>1320</v>
      </c>
      <c r="J746" s="72">
        <v>0</v>
      </c>
    </row>
    <row r="747" spans="1:10" x14ac:dyDescent="0.25">
      <c r="A747" t="s">
        <v>1627</v>
      </c>
      <c r="B747" s="1" t="s">
        <v>491</v>
      </c>
      <c r="C747">
        <v>9.26</v>
      </c>
      <c r="D747" s="72">
        <f>PRODUCTOS[[#This Row],[V/U VENTA]]*PRODUCTOS[[#This Row],[CANTIDAD]]</f>
        <v>9.26</v>
      </c>
      <c r="E747">
        <v>5</v>
      </c>
      <c r="F747">
        <v>10</v>
      </c>
      <c r="G747">
        <v>1</v>
      </c>
      <c r="H747">
        <v>1</v>
      </c>
      <c r="I747" t="s">
        <v>1320</v>
      </c>
      <c r="J747" s="72">
        <v>0</v>
      </c>
    </row>
    <row r="748" spans="1:10" x14ac:dyDescent="0.25">
      <c r="A748" t="s">
        <v>1628</v>
      </c>
      <c r="B748" s="1" t="s">
        <v>371</v>
      </c>
      <c r="C748">
        <v>0.18</v>
      </c>
      <c r="D748" s="72">
        <f>PRODUCTOS[[#This Row],[V/U VENTA]]*PRODUCTOS[[#This Row],[CANTIDAD]]</f>
        <v>37.799999999999997</v>
      </c>
      <c r="E748">
        <v>5</v>
      </c>
      <c r="F748">
        <v>10</v>
      </c>
      <c r="G748">
        <v>210</v>
      </c>
      <c r="H748">
        <v>1</v>
      </c>
      <c r="I748" t="s">
        <v>1320</v>
      </c>
      <c r="J748" s="72">
        <v>0</v>
      </c>
    </row>
    <row r="749" spans="1:10" x14ac:dyDescent="0.25">
      <c r="A749" t="s">
        <v>1629</v>
      </c>
      <c r="B749" s="1" t="s">
        <v>513</v>
      </c>
      <c r="C749">
        <v>23.51</v>
      </c>
      <c r="D749" s="72">
        <f>PRODUCTOS[[#This Row],[V/U VENTA]]*PRODUCTOS[[#This Row],[CANTIDAD]]</f>
        <v>23.51</v>
      </c>
      <c r="E749">
        <v>5</v>
      </c>
      <c r="F749">
        <v>10</v>
      </c>
      <c r="G749">
        <v>1</v>
      </c>
      <c r="H749">
        <v>1</v>
      </c>
      <c r="I749" t="s">
        <v>1320</v>
      </c>
      <c r="J749" s="72">
        <v>0</v>
      </c>
    </row>
    <row r="750" spans="1:10" x14ac:dyDescent="0.25">
      <c r="A750" t="s">
        <v>1630</v>
      </c>
      <c r="B750" s="1" t="s">
        <v>595</v>
      </c>
      <c r="C750">
        <v>4</v>
      </c>
      <c r="D750" s="72">
        <f>PRODUCTOS[[#This Row],[V/U VENTA]]*PRODUCTOS[[#This Row],[CANTIDAD]]</f>
        <v>0</v>
      </c>
      <c r="E750">
        <v>5</v>
      </c>
      <c r="F750">
        <v>10</v>
      </c>
      <c r="G750">
        <v>0</v>
      </c>
      <c r="H750">
        <v>1</v>
      </c>
      <c r="I750" t="s">
        <v>1320</v>
      </c>
      <c r="J750" s="72">
        <v>0</v>
      </c>
    </row>
    <row r="751" spans="1:10" x14ac:dyDescent="0.25">
      <c r="A751" t="s">
        <v>1631</v>
      </c>
      <c r="B751" s="1" t="s">
        <v>317</v>
      </c>
      <c r="C751">
        <v>1</v>
      </c>
      <c r="D751" s="72">
        <f>PRODUCTOS[[#This Row],[V/U VENTA]]*PRODUCTOS[[#This Row],[CANTIDAD]]</f>
        <v>16</v>
      </c>
      <c r="E751">
        <v>5</v>
      </c>
      <c r="F751">
        <v>10</v>
      </c>
      <c r="G751">
        <v>16</v>
      </c>
      <c r="H751">
        <v>1</v>
      </c>
      <c r="I751" t="s">
        <v>1320</v>
      </c>
      <c r="J751" s="72">
        <v>0</v>
      </c>
    </row>
    <row r="752" spans="1:10" x14ac:dyDescent="0.25">
      <c r="A752" t="s">
        <v>1632</v>
      </c>
      <c r="B752" s="1" t="s">
        <v>249</v>
      </c>
      <c r="C752">
        <v>2</v>
      </c>
      <c r="D752" s="72">
        <f>PRODUCTOS[[#This Row],[V/U VENTA]]*PRODUCTOS[[#This Row],[CANTIDAD]]</f>
        <v>4</v>
      </c>
      <c r="E752">
        <v>5</v>
      </c>
      <c r="F752">
        <v>10</v>
      </c>
      <c r="G752">
        <v>2</v>
      </c>
      <c r="H752">
        <v>1</v>
      </c>
      <c r="I752" t="s">
        <v>1320</v>
      </c>
      <c r="J752" s="72">
        <v>0</v>
      </c>
    </row>
    <row r="753" spans="1:10" x14ac:dyDescent="0.25">
      <c r="A753" t="s">
        <v>1633</v>
      </c>
      <c r="B753" s="1" t="s">
        <v>1526</v>
      </c>
      <c r="C753">
        <v>4.5</v>
      </c>
      <c r="D753" s="72">
        <f>PRODUCTOS[[#This Row],[V/U VENTA]]*PRODUCTOS[[#This Row],[CANTIDAD]]</f>
        <v>9</v>
      </c>
      <c r="E753">
        <v>5</v>
      </c>
      <c r="F753">
        <v>10</v>
      </c>
      <c r="G753">
        <v>2</v>
      </c>
      <c r="H753">
        <v>1</v>
      </c>
      <c r="I753" t="s">
        <v>1320</v>
      </c>
      <c r="J753" s="72">
        <v>0</v>
      </c>
    </row>
    <row r="754" spans="1:10" x14ac:dyDescent="0.25">
      <c r="A754" t="s">
        <v>1634</v>
      </c>
      <c r="B754" s="1" t="s">
        <v>1527</v>
      </c>
      <c r="C754">
        <v>1.5</v>
      </c>
      <c r="D754" s="72">
        <f>PRODUCTOS[[#This Row],[V/U VENTA]]*PRODUCTOS[[#This Row],[CANTIDAD]]</f>
        <v>3</v>
      </c>
      <c r="E754">
        <v>5</v>
      </c>
      <c r="F754">
        <v>10</v>
      </c>
      <c r="G754">
        <v>2</v>
      </c>
      <c r="H754">
        <v>1</v>
      </c>
      <c r="I754" t="s">
        <v>1320</v>
      </c>
      <c r="J754" s="72">
        <v>0</v>
      </c>
    </row>
    <row r="755" spans="1:10" x14ac:dyDescent="0.25">
      <c r="A755" t="s">
        <v>1635</v>
      </c>
      <c r="B755" s="1" t="s">
        <v>1528</v>
      </c>
      <c r="C755">
        <v>1.5</v>
      </c>
      <c r="D755" s="72">
        <f>PRODUCTOS[[#This Row],[V/U VENTA]]*PRODUCTOS[[#This Row],[CANTIDAD]]</f>
        <v>18</v>
      </c>
      <c r="E755">
        <v>5</v>
      </c>
      <c r="F755">
        <v>10</v>
      </c>
      <c r="G755">
        <v>12</v>
      </c>
      <c r="H755">
        <v>1</v>
      </c>
      <c r="I755" t="s">
        <v>1320</v>
      </c>
      <c r="J755" s="72">
        <v>0</v>
      </c>
    </row>
    <row r="756" spans="1:10" x14ac:dyDescent="0.25">
      <c r="A756" t="s">
        <v>1636</v>
      </c>
      <c r="B756" s="1" t="s">
        <v>615</v>
      </c>
      <c r="C756">
        <v>4.8</v>
      </c>
      <c r="D756" s="72">
        <f>PRODUCTOS[[#This Row],[V/U VENTA]]*PRODUCTOS[[#This Row],[CANTIDAD]]</f>
        <v>28.799999999999997</v>
      </c>
      <c r="E756">
        <v>5</v>
      </c>
      <c r="F756">
        <v>10</v>
      </c>
      <c r="G756">
        <v>6</v>
      </c>
      <c r="H756">
        <v>1</v>
      </c>
      <c r="I756" t="s">
        <v>1320</v>
      </c>
      <c r="J756" s="72">
        <v>0</v>
      </c>
    </row>
    <row r="757" spans="1:10" x14ac:dyDescent="0.25">
      <c r="A757" t="s">
        <v>1637</v>
      </c>
      <c r="B757" s="1" t="s">
        <v>172</v>
      </c>
      <c r="C757">
        <v>0.1</v>
      </c>
      <c r="D757" s="72">
        <f>PRODUCTOS[[#This Row],[V/U VENTA]]*PRODUCTOS[[#This Row],[CANTIDAD]]</f>
        <v>1.9000000000000001</v>
      </c>
      <c r="E757">
        <v>5</v>
      </c>
      <c r="F757">
        <v>10</v>
      </c>
      <c r="G757">
        <v>19</v>
      </c>
      <c r="H757">
        <v>1</v>
      </c>
      <c r="I757" t="s">
        <v>1320</v>
      </c>
      <c r="J757" s="72">
        <v>0</v>
      </c>
    </row>
    <row r="758" spans="1:10" x14ac:dyDescent="0.25">
      <c r="A758" t="s">
        <v>1638</v>
      </c>
      <c r="B758" s="1" t="s">
        <v>589</v>
      </c>
      <c r="C758">
        <v>4</v>
      </c>
      <c r="D758" s="72">
        <f>PRODUCTOS[[#This Row],[V/U VENTA]]*PRODUCTOS[[#This Row],[CANTIDAD]]</f>
        <v>0</v>
      </c>
      <c r="E758">
        <v>5</v>
      </c>
      <c r="F758">
        <v>10</v>
      </c>
      <c r="G758">
        <v>0</v>
      </c>
      <c r="H758">
        <v>1</v>
      </c>
      <c r="I758" t="s">
        <v>1320</v>
      </c>
      <c r="J758" s="72">
        <v>0</v>
      </c>
    </row>
    <row r="759" spans="1:10" x14ac:dyDescent="0.25">
      <c r="A759" t="s">
        <v>1639</v>
      </c>
      <c r="B759" s="1" t="s">
        <v>1529</v>
      </c>
      <c r="C759">
        <v>3.5</v>
      </c>
      <c r="D759" s="72">
        <f>PRODUCTOS[[#This Row],[V/U VENTA]]*PRODUCTOS[[#This Row],[CANTIDAD]]</f>
        <v>10.5</v>
      </c>
      <c r="E759">
        <v>5</v>
      </c>
      <c r="F759">
        <v>10</v>
      </c>
      <c r="G759">
        <v>3</v>
      </c>
      <c r="H759">
        <v>1</v>
      </c>
      <c r="I759" t="s">
        <v>1320</v>
      </c>
      <c r="J759" s="72">
        <v>0</v>
      </c>
    </row>
    <row r="760" spans="1:10" x14ac:dyDescent="0.25">
      <c r="A760" t="s">
        <v>1640</v>
      </c>
      <c r="B760" s="1" t="s">
        <v>376</v>
      </c>
      <c r="C760">
        <v>2</v>
      </c>
      <c r="D760" s="72">
        <f>PRODUCTOS[[#This Row],[V/U VENTA]]*PRODUCTOS[[#This Row],[CANTIDAD]]</f>
        <v>20</v>
      </c>
      <c r="E760">
        <v>5</v>
      </c>
      <c r="F760">
        <v>10</v>
      </c>
      <c r="G760">
        <v>10</v>
      </c>
      <c r="H760">
        <v>1</v>
      </c>
      <c r="I760" t="s">
        <v>1320</v>
      </c>
      <c r="J760" s="72">
        <v>0</v>
      </c>
    </row>
    <row r="761" spans="1:10" x14ac:dyDescent="0.25">
      <c r="A761" t="s">
        <v>1641</v>
      </c>
      <c r="B761" s="1" t="s">
        <v>224</v>
      </c>
      <c r="C761">
        <v>8.16</v>
      </c>
      <c r="D761" s="72">
        <f>PRODUCTOS[[#This Row],[V/U VENTA]]*PRODUCTOS[[#This Row],[CANTIDAD]]</f>
        <v>0</v>
      </c>
      <c r="E761">
        <v>5</v>
      </c>
      <c r="F761">
        <v>10</v>
      </c>
      <c r="G761">
        <v>0</v>
      </c>
      <c r="H761">
        <v>1</v>
      </c>
      <c r="I761" t="s">
        <v>1320</v>
      </c>
      <c r="J761" s="72">
        <v>0</v>
      </c>
    </row>
    <row r="762" spans="1:10" x14ac:dyDescent="0.25">
      <c r="A762" t="s">
        <v>1642</v>
      </c>
      <c r="B762" s="1" t="s">
        <v>562</v>
      </c>
      <c r="C762">
        <v>1.5</v>
      </c>
      <c r="D762" s="72">
        <f>PRODUCTOS[[#This Row],[V/U VENTA]]*PRODUCTOS[[#This Row],[CANTIDAD]]</f>
        <v>1.5</v>
      </c>
      <c r="E762">
        <v>5</v>
      </c>
      <c r="F762">
        <v>10</v>
      </c>
      <c r="G762">
        <v>1</v>
      </c>
      <c r="H762">
        <v>1</v>
      </c>
      <c r="I762" t="s">
        <v>1320</v>
      </c>
      <c r="J762" s="72">
        <v>0</v>
      </c>
    </row>
    <row r="763" spans="1:10" x14ac:dyDescent="0.25">
      <c r="A763" t="s">
        <v>1643</v>
      </c>
      <c r="B763" s="1" t="s">
        <v>1530</v>
      </c>
      <c r="C763">
        <v>7.5</v>
      </c>
      <c r="D763" s="72">
        <f>PRODUCTOS[[#This Row],[V/U VENTA]]*PRODUCTOS[[#This Row],[CANTIDAD]]</f>
        <v>0</v>
      </c>
      <c r="E763">
        <v>5</v>
      </c>
      <c r="F763">
        <v>10</v>
      </c>
      <c r="G763">
        <v>0</v>
      </c>
      <c r="H763">
        <v>1</v>
      </c>
      <c r="I763" t="s">
        <v>1320</v>
      </c>
      <c r="J763" s="72">
        <v>0</v>
      </c>
    </row>
    <row r="764" spans="1:10" x14ac:dyDescent="0.25">
      <c r="A764" t="s">
        <v>1644</v>
      </c>
      <c r="B764" s="1" t="s">
        <v>204</v>
      </c>
      <c r="C764">
        <v>2</v>
      </c>
      <c r="D764" s="72">
        <f>PRODUCTOS[[#This Row],[V/U VENTA]]*PRODUCTOS[[#This Row],[CANTIDAD]]</f>
        <v>22</v>
      </c>
      <c r="E764">
        <v>5</v>
      </c>
      <c r="F764">
        <v>10</v>
      </c>
      <c r="G764">
        <v>11</v>
      </c>
      <c r="H764">
        <v>1</v>
      </c>
      <c r="I764" t="s">
        <v>1320</v>
      </c>
      <c r="J764" s="72">
        <v>0</v>
      </c>
    </row>
    <row r="765" spans="1:10" x14ac:dyDescent="0.25">
      <c r="A765" t="s">
        <v>1645</v>
      </c>
      <c r="B765" s="1" t="s">
        <v>335</v>
      </c>
      <c r="C765">
        <v>4.9000000000000004</v>
      </c>
      <c r="D765" s="72">
        <f>PRODUCTOS[[#This Row],[V/U VENTA]]*PRODUCTOS[[#This Row],[CANTIDAD]]</f>
        <v>4.9000000000000004</v>
      </c>
      <c r="E765">
        <v>5</v>
      </c>
      <c r="F765">
        <v>10</v>
      </c>
      <c r="G765">
        <v>1</v>
      </c>
      <c r="H765">
        <v>1</v>
      </c>
      <c r="I765" t="s">
        <v>1320</v>
      </c>
      <c r="J765" s="72">
        <v>0</v>
      </c>
    </row>
    <row r="766" spans="1:10" x14ac:dyDescent="0.25">
      <c r="A766" t="s">
        <v>1646</v>
      </c>
      <c r="B766" s="1" t="s">
        <v>1531</v>
      </c>
      <c r="C766">
        <v>5.5</v>
      </c>
      <c r="D766" s="72">
        <f>PRODUCTOS[[#This Row],[V/U VENTA]]*PRODUCTOS[[#This Row],[CANTIDAD]]</f>
        <v>5.5</v>
      </c>
      <c r="E766">
        <v>5</v>
      </c>
      <c r="F766">
        <v>10</v>
      </c>
      <c r="G766">
        <v>1</v>
      </c>
      <c r="H766">
        <v>1</v>
      </c>
      <c r="I766" t="s">
        <v>1320</v>
      </c>
      <c r="J766" s="72">
        <v>0</v>
      </c>
    </row>
    <row r="767" spans="1:10" x14ac:dyDescent="0.25">
      <c r="A767" t="s">
        <v>1647</v>
      </c>
      <c r="B767" s="1" t="s">
        <v>334</v>
      </c>
      <c r="C767">
        <v>5.5</v>
      </c>
      <c r="D767" s="72">
        <f>PRODUCTOS[[#This Row],[V/U VENTA]]*PRODUCTOS[[#This Row],[CANTIDAD]]</f>
        <v>0</v>
      </c>
      <c r="E767">
        <v>5</v>
      </c>
      <c r="F767">
        <v>10</v>
      </c>
      <c r="G767">
        <v>0</v>
      </c>
      <c r="H767">
        <v>1</v>
      </c>
      <c r="I767" t="s">
        <v>1320</v>
      </c>
      <c r="J767" s="72">
        <v>0</v>
      </c>
    </row>
    <row r="768" spans="1:10" x14ac:dyDescent="0.25">
      <c r="A768" t="s">
        <v>1648</v>
      </c>
      <c r="B768" s="1" t="s">
        <v>28</v>
      </c>
      <c r="C768">
        <v>1</v>
      </c>
      <c r="D768" s="72">
        <f>PRODUCTOS[[#This Row],[V/U VENTA]]*PRODUCTOS[[#This Row],[CANTIDAD]]</f>
        <v>20</v>
      </c>
      <c r="E768">
        <v>5</v>
      </c>
      <c r="F768">
        <v>10</v>
      </c>
      <c r="G768">
        <v>20</v>
      </c>
      <c r="H768">
        <v>1</v>
      </c>
      <c r="I768" t="s">
        <v>1320</v>
      </c>
      <c r="J768" s="72">
        <v>0</v>
      </c>
    </row>
    <row r="769" spans="1:10" x14ac:dyDescent="0.25">
      <c r="A769" t="s">
        <v>1649</v>
      </c>
      <c r="B769" s="1" t="s">
        <v>1532</v>
      </c>
      <c r="C769">
        <v>6</v>
      </c>
      <c r="D769" s="72">
        <f>PRODUCTOS[[#This Row],[V/U VENTA]]*PRODUCTOS[[#This Row],[CANTIDAD]]</f>
        <v>0</v>
      </c>
      <c r="E769">
        <v>5</v>
      </c>
      <c r="F769">
        <v>10</v>
      </c>
      <c r="G769">
        <v>0</v>
      </c>
      <c r="H769">
        <v>1</v>
      </c>
      <c r="I769" t="s">
        <v>1320</v>
      </c>
      <c r="J769" s="72">
        <v>0</v>
      </c>
    </row>
    <row r="770" spans="1:10" x14ac:dyDescent="0.25">
      <c r="A770" t="s">
        <v>1650</v>
      </c>
      <c r="B770" s="1" t="s">
        <v>1533</v>
      </c>
      <c r="C770">
        <v>0.55000000000000004</v>
      </c>
      <c r="D770" s="72">
        <f>PRODUCTOS[[#This Row],[V/U VENTA]]*PRODUCTOS[[#This Row],[CANTIDAD]]</f>
        <v>1.1000000000000001</v>
      </c>
      <c r="E770">
        <v>5</v>
      </c>
      <c r="F770">
        <v>10</v>
      </c>
      <c r="G770">
        <v>2</v>
      </c>
      <c r="H770">
        <v>1</v>
      </c>
      <c r="I770" t="s">
        <v>1320</v>
      </c>
      <c r="J770" s="72">
        <v>0</v>
      </c>
    </row>
    <row r="771" spans="1:10" x14ac:dyDescent="0.25">
      <c r="A771" t="s">
        <v>1651</v>
      </c>
      <c r="B771" s="1" t="s">
        <v>1805</v>
      </c>
      <c r="C771">
        <v>5.73</v>
      </c>
      <c r="D771" s="72">
        <f>PRODUCTOS[[#This Row],[V/U VENTA]]*PRODUCTOS[[#This Row],[CANTIDAD]]</f>
        <v>5.73</v>
      </c>
      <c r="E771">
        <v>5</v>
      </c>
      <c r="F771">
        <v>10</v>
      </c>
      <c r="G771">
        <v>1</v>
      </c>
      <c r="H771">
        <v>1</v>
      </c>
      <c r="I771" t="s">
        <v>1320</v>
      </c>
      <c r="J771" s="72">
        <v>0</v>
      </c>
    </row>
    <row r="772" spans="1:10" x14ac:dyDescent="0.25">
      <c r="A772" t="s">
        <v>1652</v>
      </c>
      <c r="B772" s="1" t="s">
        <v>303</v>
      </c>
      <c r="C772">
        <v>6.91</v>
      </c>
      <c r="D772" s="72">
        <f>PRODUCTOS[[#This Row],[V/U VENTA]]*PRODUCTOS[[#This Row],[CANTIDAD]]</f>
        <v>6.91</v>
      </c>
      <c r="E772">
        <v>5</v>
      </c>
      <c r="F772">
        <v>10</v>
      </c>
      <c r="G772">
        <v>1</v>
      </c>
      <c r="H772">
        <v>1</v>
      </c>
      <c r="I772" t="s">
        <v>1320</v>
      </c>
      <c r="J772" s="72">
        <v>0</v>
      </c>
    </row>
    <row r="773" spans="1:10" x14ac:dyDescent="0.25">
      <c r="A773" t="s">
        <v>1653</v>
      </c>
      <c r="B773" s="1" t="s">
        <v>220</v>
      </c>
      <c r="C773">
        <v>2.88</v>
      </c>
      <c r="D773" s="72">
        <f>PRODUCTOS[[#This Row],[V/U VENTA]]*PRODUCTOS[[#This Row],[CANTIDAD]]</f>
        <v>2.88</v>
      </c>
      <c r="E773">
        <v>5</v>
      </c>
      <c r="F773">
        <v>10</v>
      </c>
      <c r="G773">
        <v>1</v>
      </c>
      <c r="H773">
        <v>1</v>
      </c>
      <c r="I773" t="s">
        <v>1320</v>
      </c>
      <c r="J773" s="72">
        <v>0</v>
      </c>
    </row>
    <row r="774" spans="1:10" x14ac:dyDescent="0.25">
      <c r="A774" t="s">
        <v>1654</v>
      </c>
      <c r="B774" s="1" t="s">
        <v>290</v>
      </c>
      <c r="C774">
        <v>0.2</v>
      </c>
      <c r="D774" s="72">
        <f>PRODUCTOS[[#This Row],[V/U VENTA]]*PRODUCTOS[[#This Row],[CANTIDAD]]</f>
        <v>0</v>
      </c>
      <c r="E774">
        <v>5</v>
      </c>
      <c r="F774">
        <v>10</v>
      </c>
      <c r="G774">
        <v>0</v>
      </c>
      <c r="H774">
        <v>1</v>
      </c>
      <c r="I774" t="s">
        <v>1320</v>
      </c>
      <c r="J774" s="72">
        <v>0</v>
      </c>
    </row>
    <row r="775" spans="1:10" x14ac:dyDescent="0.25">
      <c r="A775" t="s">
        <v>1655</v>
      </c>
      <c r="B775" s="1" t="s">
        <v>176</v>
      </c>
      <c r="C775">
        <v>3.5</v>
      </c>
      <c r="D775" s="72">
        <f>PRODUCTOS[[#This Row],[V/U VENTA]]*PRODUCTOS[[#This Row],[CANTIDAD]]</f>
        <v>3.5</v>
      </c>
      <c r="E775">
        <v>5</v>
      </c>
      <c r="F775">
        <v>10</v>
      </c>
      <c r="G775">
        <v>1</v>
      </c>
      <c r="H775">
        <v>1</v>
      </c>
      <c r="I775" t="s">
        <v>1320</v>
      </c>
      <c r="J775" s="72">
        <v>0</v>
      </c>
    </row>
    <row r="776" spans="1:10" x14ac:dyDescent="0.25">
      <c r="A776" t="s">
        <v>1656</v>
      </c>
      <c r="B776" s="1" t="s">
        <v>253</v>
      </c>
      <c r="C776">
        <v>0.5</v>
      </c>
      <c r="D776" s="72">
        <f>PRODUCTOS[[#This Row],[V/U VENTA]]*PRODUCTOS[[#This Row],[CANTIDAD]]</f>
        <v>0</v>
      </c>
      <c r="E776">
        <v>5</v>
      </c>
      <c r="F776">
        <v>10</v>
      </c>
      <c r="G776">
        <v>0</v>
      </c>
      <c r="H776">
        <v>1</v>
      </c>
      <c r="I776" t="s">
        <v>1320</v>
      </c>
      <c r="J776" s="72">
        <v>0</v>
      </c>
    </row>
    <row r="777" spans="1:10" x14ac:dyDescent="0.25">
      <c r="A777" t="s">
        <v>1657</v>
      </c>
      <c r="B777" s="1" t="s">
        <v>284</v>
      </c>
      <c r="C777">
        <v>0.8</v>
      </c>
      <c r="D777" s="72">
        <f>PRODUCTOS[[#This Row],[V/U VENTA]]*PRODUCTOS[[#This Row],[CANTIDAD]]</f>
        <v>0</v>
      </c>
      <c r="E777">
        <v>5</v>
      </c>
      <c r="F777">
        <v>10</v>
      </c>
      <c r="G777">
        <v>0</v>
      </c>
      <c r="H777">
        <v>1</v>
      </c>
      <c r="I777" t="s">
        <v>1320</v>
      </c>
      <c r="J777" s="72">
        <v>0</v>
      </c>
    </row>
    <row r="778" spans="1:10" x14ac:dyDescent="0.25">
      <c r="A778" t="s">
        <v>1658</v>
      </c>
      <c r="B778" s="1" t="s">
        <v>363</v>
      </c>
      <c r="C778">
        <v>4.3</v>
      </c>
      <c r="D778" s="72">
        <f>PRODUCTOS[[#This Row],[V/U VENTA]]*PRODUCTOS[[#This Row],[CANTIDAD]]</f>
        <v>4.3</v>
      </c>
      <c r="E778">
        <v>5</v>
      </c>
      <c r="F778">
        <v>10</v>
      </c>
      <c r="G778">
        <v>1</v>
      </c>
      <c r="H778">
        <v>1</v>
      </c>
      <c r="I778" t="s">
        <v>1320</v>
      </c>
      <c r="J778" s="72">
        <v>0</v>
      </c>
    </row>
    <row r="779" spans="1:10" x14ac:dyDescent="0.25">
      <c r="A779" t="s">
        <v>1659</v>
      </c>
      <c r="B779" s="1" t="s">
        <v>21</v>
      </c>
      <c r="C779">
        <v>0.25</v>
      </c>
      <c r="D779" s="72">
        <f>PRODUCTOS[[#This Row],[V/U VENTA]]*PRODUCTOS[[#This Row],[CANTIDAD]]</f>
        <v>42.5</v>
      </c>
      <c r="E779">
        <v>5</v>
      </c>
      <c r="F779">
        <v>10</v>
      </c>
      <c r="G779">
        <v>170</v>
      </c>
      <c r="H779">
        <v>1</v>
      </c>
      <c r="I779" t="s">
        <v>1320</v>
      </c>
      <c r="J779" s="72">
        <v>0</v>
      </c>
    </row>
    <row r="780" spans="1:10" x14ac:dyDescent="0.25">
      <c r="A780" t="s">
        <v>1660</v>
      </c>
      <c r="B780" s="1" t="s">
        <v>388</v>
      </c>
      <c r="C780">
        <v>2.1</v>
      </c>
      <c r="D780" s="72">
        <f>PRODUCTOS[[#This Row],[V/U VENTA]]*PRODUCTOS[[#This Row],[CANTIDAD]]</f>
        <v>2.1</v>
      </c>
      <c r="E780">
        <v>5</v>
      </c>
      <c r="F780">
        <v>10</v>
      </c>
      <c r="G780">
        <v>1</v>
      </c>
      <c r="H780">
        <v>1</v>
      </c>
      <c r="I780" t="s">
        <v>1320</v>
      </c>
      <c r="J780" s="72">
        <v>0</v>
      </c>
    </row>
    <row r="781" spans="1:10" x14ac:dyDescent="0.25">
      <c r="A781" t="s">
        <v>1661</v>
      </c>
      <c r="B781" s="1" t="s">
        <v>49</v>
      </c>
      <c r="C781">
        <v>0.3</v>
      </c>
      <c r="D781" s="72">
        <f>PRODUCTOS[[#This Row],[V/U VENTA]]*PRODUCTOS[[#This Row],[CANTIDAD]]</f>
        <v>0</v>
      </c>
      <c r="E781">
        <v>5</v>
      </c>
      <c r="F781">
        <v>10</v>
      </c>
      <c r="G781">
        <v>0</v>
      </c>
      <c r="H781">
        <v>1</v>
      </c>
      <c r="I781" t="s">
        <v>1320</v>
      </c>
      <c r="J781" s="72">
        <v>0</v>
      </c>
    </row>
    <row r="782" spans="1:10" x14ac:dyDescent="0.25">
      <c r="A782" t="s">
        <v>1662</v>
      </c>
      <c r="B782" s="1" t="s">
        <v>449</v>
      </c>
      <c r="C782">
        <v>22</v>
      </c>
      <c r="D782" s="72">
        <f>PRODUCTOS[[#This Row],[V/U VENTA]]*PRODUCTOS[[#This Row],[CANTIDAD]]</f>
        <v>44</v>
      </c>
      <c r="E782">
        <v>5</v>
      </c>
      <c r="F782">
        <v>10</v>
      </c>
      <c r="G782">
        <v>2</v>
      </c>
      <c r="H782">
        <v>1</v>
      </c>
      <c r="I782" t="s">
        <v>1320</v>
      </c>
      <c r="J782" s="72">
        <v>0</v>
      </c>
    </row>
    <row r="783" spans="1:10" x14ac:dyDescent="0.25">
      <c r="A783" t="s">
        <v>1663</v>
      </c>
      <c r="B783" s="1" t="s">
        <v>442</v>
      </c>
      <c r="C783">
        <v>6</v>
      </c>
      <c r="D783" s="72">
        <f>PRODUCTOS[[#This Row],[V/U VENTA]]*PRODUCTOS[[#This Row],[CANTIDAD]]</f>
        <v>6</v>
      </c>
      <c r="E783">
        <v>5</v>
      </c>
      <c r="F783">
        <v>10</v>
      </c>
      <c r="G783">
        <v>1</v>
      </c>
      <c r="H783">
        <v>1</v>
      </c>
      <c r="I783" t="s">
        <v>1320</v>
      </c>
      <c r="J783" s="72">
        <v>0</v>
      </c>
    </row>
    <row r="784" spans="1:10" x14ac:dyDescent="0.25">
      <c r="A784" t="s">
        <v>1664</v>
      </c>
      <c r="B784" s="1" t="s">
        <v>1534</v>
      </c>
      <c r="C784">
        <v>0.2</v>
      </c>
      <c r="D784" s="72">
        <f>PRODUCTOS[[#This Row],[V/U VENTA]]*PRODUCTOS[[#This Row],[CANTIDAD]]</f>
        <v>7.8000000000000007</v>
      </c>
      <c r="E784">
        <v>5</v>
      </c>
      <c r="F784">
        <v>10</v>
      </c>
      <c r="G784">
        <v>39</v>
      </c>
      <c r="H784">
        <v>1</v>
      </c>
      <c r="I784" t="s">
        <v>1320</v>
      </c>
      <c r="J784" s="72">
        <v>0</v>
      </c>
    </row>
    <row r="785" spans="1:10" x14ac:dyDescent="0.25">
      <c r="A785" t="s">
        <v>1665</v>
      </c>
      <c r="B785" s="1" t="s">
        <v>56</v>
      </c>
      <c r="C785">
        <v>0.25</v>
      </c>
      <c r="D785" s="72">
        <f>PRODUCTOS[[#This Row],[V/U VENTA]]*PRODUCTOS[[#This Row],[CANTIDAD]]</f>
        <v>20</v>
      </c>
      <c r="E785">
        <v>5</v>
      </c>
      <c r="F785">
        <v>10</v>
      </c>
      <c r="G785">
        <v>80</v>
      </c>
      <c r="H785">
        <v>1</v>
      </c>
      <c r="I785" t="s">
        <v>1320</v>
      </c>
      <c r="J785" s="72">
        <v>0</v>
      </c>
    </row>
    <row r="786" spans="1:10" x14ac:dyDescent="0.25">
      <c r="A786" t="s">
        <v>1666</v>
      </c>
      <c r="B786" s="1" t="s">
        <v>133</v>
      </c>
      <c r="C786">
        <v>5.2</v>
      </c>
      <c r="D786" s="72">
        <f>PRODUCTOS[[#This Row],[V/U VENTA]]*PRODUCTOS[[#This Row],[CANTIDAD]]</f>
        <v>0</v>
      </c>
      <c r="E786">
        <v>5</v>
      </c>
      <c r="F786">
        <v>10</v>
      </c>
      <c r="G786">
        <v>0</v>
      </c>
      <c r="H786">
        <v>1</v>
      </c>
      <c r="I786" t="s">
        <v>1320</v>
      </c>
      <c r="J786" s="72">
        <v>0</v>
      </c>
    </row>
    <row r="787" spans="1:10" x14ac:dyDescent="0.25">
      <c r="A787" t="s">
        <v>1667</v>
      </c>
      <c r="B787" s="1" t="s">
        <v>517</v>
      </c>
      <c r="C787">
        <v>2.35</v>
      </c>
      <c r="D787" s="72">
        <f>PRODUCTOS[[#This Row],[V/U VENTA]]*PRODUCTOS[[#This Row],[CANTIDAD]]</f>
        <v>2.35</v>
      </c>
      <c r="E787">
        <v>5</v>
      </c>
      <c r="F787">
        <v>10</v>
      </c>
      <c r="G787">
        <v>1</v>
      </c>
      <c r="H787">
        <v>1</v>
      </c>
      <c r="I787" t="s">
        <v>1320</v>
      </c>
      <c r="J787" s="72">
        <v>0</v>
      </c>
    </row>
    <row r="788" spans="1:10" x14ac:dyDescent="0.25">
      <c r="A788" t="s">
        <v>1668</v>
      </c>
      <c r="B788" s="1" t="s">
        <v>1535</v>
      </c>
      <c r="C788">
        <v>2.5</v>
      </c>
      <c r="D788" s="72">
        <f>PRODUCTOS[[#This Row],[V/U VENTA]]*PRODUCTOS[[#This Row],[CANTIDAD]]</f>
        <v>0</v>
      </c>
      <c r="E788">
        <v>5</v>
      </c>
      <c r="F788">
        <v>10</v>
      </c>
      <c r="G788">
        <v>0</v>
      </c>
      <c r="H788">
        <v>1</v>
      </c>
      <c r="I788" t="s">
        <v>1320</v>
      </c>
      <c r="J788" s="72">
        <v>0</v>
      </c>
    </row>
    <row r="789" spans="1:10" x14ac:dyDescent="0.25">
      <c r="A789" t="s">
        <v>1669</v>
      </c>
      <c r="B789" s="1" t="s">
        <v>413</v>
      </c>
      <c r="C789">
        <v>0.35</v>
      </c>
      <c r="D789" s="72">
        <f>PRODUCTOS[[#This Row],[V/U VENTA]]*PRODUCTOS[[#This Row],[CANTIDAD]]</f>
        <v>2.8</v>
      </c>
      <c r="E789">
        <v>5</v>
      </c>
      <c r="F789">
        <v>10</v>
      </c>
      <c r="G789">
        <v>8</v>
      </c>
      <c r="H789">
        <v>1</v>
      </c>
      <c r="I789" t="s">
        <v>1320</v>
      </c>
      <c r="J789" s="72">
        <v>0</v>
      </c>
    </row>
    <row r="790" spans="1:10" x14ac:dyDescent="0.25">
      <c r="A790" t="s">
        <v>1670</v>
      </c>
      <c r="B790" s="1" t="s">
        <v>132</v>
      </c>
      <c r="C790">
        <v>2.5</v>
      </c>
      <c r="D790" s="72">
        <f>PRODUCTOS[[#This Row],[V/U VENTA]]*PRODUCTOS[[#This Row],[CANTIDAD]]</f>
        <v>35</v>
      </c>
      <c r="E790">
        <v>5</v>
      </c>
      <c r="F790">
        <v>10</v>
      </c>
      <c r="G790">
        <v>14</v>
      </c>
      <c r="H790">
        <v>1</v>
      </c>
      <c r="I790" t="s">
        <v>1320</v>
      </c>
      <c r="J790" s="72">
        <v>0</v>
      </c>
    </row>
    <row r="791" spans="1:10" x14ac:dyDescent="0.25">
      <c r="A791" t="s">
        <v>1671</v>
      </c>
      <c r="B791" s="1" t="s">
        <v>524</v>
      </c>
      <c r="C791">
        <v>0.5</v>
      </c>
      <c r="D791" s="72">
        <f>PRODUCTOS[[#This Row],[V/U VENTA]]*PRODUCTOS[[#This Row],[CANTIDAD]]</f>
        <v>8</v>
      </c>
      <c r="E791">
        <v>5</v>
      </c>
      <c r="F791">
        <v>10</v>
      </c>
      <c r="G791">
        <v>16</v>
      </c>
      <c r="H791">
        <v>1</v>
      </c>
      <c r="I791" t="s">
        <v>1320</v>
      </c>
      <c r="J791" s="72">
        <v>0</v>
      </c>
    </row>
    <row r="792" spans="1:10" x14ac:dyDescent="0.25">
      <c r="A792" t="s">
        <v>1672</v>
      </c>
      <c r="B792" s="1" t="s">
        <v>529</v>
      </c>
      <c r="C792">
        <v>15.4</v>
      </c>
      <c r="D792" s="72">
        <f>PRODUCTOS[[#This Row],[V/U VENTA]]*PRODUCTOS[[#This Row],[CANTIDAD]]</f>
        <v>61.6</v>
      </c>
      <c r="E792">
        <v>5</v>
      </c>
      <c r="F792">
        <v>10</v>
      </c>
      <c r="G792">
        <v>4</v>
      </c>
      <c r="H792">
        <v>1</v>
      </c>
      <c r="I792" t="s">
        <v>1320</v>
      </c>
      <c r="J792" s="72">
        <v>0</v>
      </c>
    </row>
    <row r="793" spans="1:10" x14ac:dyDescent="0.25">
      <c r="A793" t="s">
        <v>1673</v>
      </c>
      <c r="B793" s="1" t="s">
        <v>526</v>
      </c>
      <c r="C793">
        <v>0.6</v>
      </c>
      <c r="D793" s="72">
        <f>PRODUCTOS[[#This Row],[V/U VENTA]]*PRODUCTOS[[#This Row],[CANTIDAD]]</f>
        <v>3.5999999999999996</v>
      </c>
      <c r="E793">
        <v>5</v>
      </c>
      <c r="F793">
        <v>10</v>
      </c>
      <c r="G793">
        <v>6</v>
      </c>
      <c r="H793">
        <v>1</v>
      </c>
      <c r="I793" t="s">
        <v>1320</v>
      </c>
      <c r="J793" s="72">
        <v>0</v>
      </c>
    </row>
    <row r="794" spans="1:10" x14ac:dyDescent="0.25">
      <c r="A794" t="s">
        <v>1674</v>
      </c>
      <c r="B794" s="1" t="s">
        <v>525</v>
      </c>
      <c r="C794">
        <v>0.75</v>
      </c>
      <c r="D794" s="72">
        <f>PRODUCTOS[[#This Row],[V/U VENTA]]*PRODUCTOS[[#This Row],[CANTIDAD]]</f>
        <v>0</v>
      </c>
      <c r="E794">
        <v>5</v>
      </c>
      <c r="F794">
        <v>10</v>
      </c>
      <c r="G794">
        <v>0</v>
      </c>
      <c r="H794">
        <v>1</v>
      </c>
      <c r="I794" t="s">
        <v>1320</v>
      </c>
      <c r="J794" s="72">
        <v>0</v>
      </c>
    </row>
    <row r="795" spans="1:10" x14ac:dyDescent="0.25">
      <c r="A795" t="s">
        <v>1675</v>
      </c>
      <c r="B795" s="1" t="s">
        <v>527</v>
      </c>
      <c r="C795">
        <v>1.25</v>
      </c>
      <c r="D795" s="72">
        <f>PRODUCTOS[[#This Row],[V/U VENTA]]*PRODUCTOS[[#This Row],[CANTIDAD]]</f>
        <v>2.5</v>
      </c>
      <c r="E795">
        <v>5</v>
      </c>
      <c r="F795">
        <v>10</v>
      </c>
      <c r="G795">
        <v>2</v>
      </c>
      <c r="H795">
        <v>1</v>
      </c>
      <c r="I795" t="s">
        <v>1320</v>
      </c>
      <c r="J795" s="72">
        <v>0</v>
      </c>
    </row>
    <row r="796" spans="1:10" x14ac:dyDescent="0.25">
      <c r="A796" t="s">
        <v>1676</v>
      </c>
      <c r="B796" s="1" t="s">
        <v>528</v>
      </c>
      <c r="C796">
        <v>1.25</v>
      </c>
      <c r="D796" s="72">
        <f>PRODUCTOS[[#This Row],[V/U VENTA]]*PRODUCTOS[[#This Row],[CANTIDAD]]</f>
        <v>2.5</v>
      </c>
      <c r="E796">
        <v>5</v>
      </c>
      <c r="F796">
        <v>10</v>
      </c>
      <c r="G796">
        <v>2</v>
      </c>
      <c r="H796">
        <v>1</v>
      </c>
      <c r="I796" t="s">
        <v>1320</v>
      </c>
      <c r="J796" s="72">
        <v>0</v>
      </c>
    </row>
    <row r="797" spans="1:10" x14ac:dyDescent="0.25">
      <c r="A797" t="s">
        <v>1677</v>
      </c>
      <c r="B797" s="1" t="s">
        <v>581</v>
      </c>
      <c r="C797">
        <v>2</v>
      </c>
      <c r="D797" s="72">
        <f>PRODUCTOS[[#This Row],[V/U VENTA]]*PRODUCTOS[[#This Row],[CANTIDAD]]</f>
        <v>2</v>
      </c>
      <c r="E797">
        <v>5</v>
      </c>
      <c r="F797">
        <v>10</v>
      </c>
      <c r="G797">
        <v>1</v>
      </c>
      <c r="H797">
        <v>1</v>
      </c>
      <c r="I797" t="s">
        <v>1320</v>
      </c>
      <c r="J797" s="72">
        <v>0</v>
      </c>
    </row>
    <row r="798" spans="1:10" x14ac:dyDescent="0.25">
      <c r="A798" t="s">
        <v>1678</v>
      </c>
      <c r="B798" s="1" t="s">
        <v>1536</v>
      </c>
      <c r="C798">
        <v>1</v>
      </c>
      <c r="D798" s="72">
        <f>PRODUCTOS[[#This Row],[V/U VENTA]]*PRODUCTOS[[#This Row],[CANTIDAD]]</f>
        <v>5</v>
      </c>
      <c r="E798">
        <v>5</v>
      </c>
      <c r="F798">
        <v>10</v>
      </c>
      <c r="G798">
        <v>5</v>
      </c>
      <c r="H798">
        <v>1</v>
      </c>
      <c r="I798" t="s">
        <v>1320</v>
      </c>
      <c r="J798" s="72">
        <v>0</v>
      </c>
    </row>
    <row r="799" spans="1:10" x14ac:dyDescent="0.25">
      <c r="A799" t="s">
        <v>1679</v>
      </c>
      <c r="B799" s="1" t="s">
        <v>518</v>
      </c>
      <c r="C799">
        <v>1.25</v>
      </c>
      <c r="D799" s="72">
        <f>PRODUCTOS[[#This Row],[V/U VENTA]]*PRODUCTOS[[#This Row],[CANTIDAD]]</f>
        <v>3.75</v>
      </c>
      <c r="E799">
        <v>5</v>
      </c>
      <c r="F799">
        <v>10</v>
      </c>
      <c r="G799">
        <v>3</v>
      </c>
      <c r="H799">
        <v>1</v>
      </c>
      <c r="I799" t="s">
        <v>1320</v>
      </c>
      <c r="J799" s="72">
        <v>0</v>
      </c>
    </row>
    <row r="800" spans="1:10" x14ac:dyDescent="0.25">
      <c r="A800" t="s">
        <v>1680</v>
      </c>
      <c r="B800" s="1" t="s">
        <v>1537</v>
      </c>
      <c r="C800">
        <v>6.8</v>
      </c>
      <c r="D800" s="72">
        <f>PRODUCTOS[[#This Row],[V/U VENTA]]*PRODUCTOS[[#This Row],[CANTIDAD]]</f>
        <v>13.6</v>
      </c>
      <c r="E800">
        <v>5</v>
      </c>
      <c r="F800">
        <v>10</v>
      </c>
      <c r="G800">
        <v>2</v>
      </c>
      <c r="H800">
        <v>1</v>
      </c>
      <c r="I800" t="s">
        <v>1320</v>
      </c>
      <c r="J800" s="72">
        <v>0</v>
      </c>
    </row>
    <row r="801" spans="1:10" x14ac:dyDescent="0.25">
      <c r="A801" t="s">
        <v>1681</v>
      </c>
      <c r="B801" s="1" t="s">
        <v>584</v>
      </c>
      <c r="C801">
        <v>2.2999999999999998</v>
      </c>
      <c r="D801" s="72">
        <f>PRODUCTOS[[#This Row],[V/U VENTA]]*PRODUCTOS[[#This Row],[CANTIDAD]]</f>
        <v>2.2999999999999998</v>
      </c>
      <c r="E801">
        <v>5</v>
      </c>
      <c r="F801">
        <v>10</v>
      </c>
      <c r="G801">
        <v>1</v>
      </c>
      <c r="H801">
        <v>1</v>
      </c>
      <c r="I801" t="s">
        <v>1320</v>
      </c>
      <c r="J801" s="72">
        <v>0</v>
      </c>
    </row>
    <row r="802" spans="1:10" x14ac:dyDescent="0.25">
      <c r="A802" t="s">
        <v>1682</v>
      </c>
      <c r="B802" s="1" t="s">
        <v>1538</v>
      </c>
      <c r="C802">
        <v>3.25</v>
      </c>
      <c r="D802" s="72">
        <f>PRODUCTOS[[#This Row],[V/U VENTA]]*PRODUCTOS[[#This Row],[CANTIDAD]]</f>
        <v>3.25</v>
      </c>
      <c r="E802">
        <v>5</v>
      </c>
      <c r="F802">
        <v>10</v>
      </c>
      <c r="G802">
        <v>1</v>
      </c>
      <c r="H802">
        <v>1</v>
      </c>
      <c r="I802" t="s">
        <v>1320</v>
      </c>
      <c r="J802" s="72">
        <v>0</v>
      </c>
    </row>
    <row r="803" spans="1:10" x14ac:dyDescent="0.25">
      <c r="A803" t="s">
        <v>1683</v>
      </c>
      <c r="B803" s="1" t="s">
        <v>221</v>
      </c>
      <c r="C803">
        <v>2.8</v>
      </c>
      <c r="D803" s="72">
        <f>PRODUCTOS[[#This Row],[V/U VENTA]]*PRODUCTOS[[#This Row],[CANTIDAD]]</f>
        <v>0</v>
      </c>
      <c r="E803">
        <v>5</v>
      </c>
      <c r="F803">
        <v>10</v>
      </c>
      <c r="G803">
        <v>0</v>
      </c>
      <c r="H803">
        <v>1</v>
      </c>
      <c r="I803" t="s">
        <v>1320</v>
      </c>
      <c r="J803" s="72">
        <v>0</v>
      </c>
    </row>
    <row r="804" spans="1:10" x14ac:dyDescent="0.25">
      <c r="A804" t="s">
        <v>1684</v>
      </c>
      <c r="B804" s="1" t="s">
        <v>558</v>
      </c>
      <c r="C804">
        <v>1.25</v>
      </c>
      <c r="D804" s="72">
        <f>PRODUCTOS[[#This Row],[V/U VENTA]]*PRODUCTOS[[#This Row],[CANTIDAD]]</f>
        <v>0</v>
      </c>
      <c r="E804">
        <v>5</v>
      </c>
      <c r="F804">
        <v>10</v>
      </c>
      <c r="G804">
        <v>0</v>
      </c>
      <c r="H804">
        <v>1</v>
      </c>
      <c r="I804" t="s">
        <v>1320</v>
      </c>
      <c r="J804" s="72">
        <v>0</v>
      </c>
    </row>
    <row r="805" spans="1:10" x14ac:dyDescent="0.25">
      <c r="A805" t="s">
        <v>1685</v>
      </c>
      <c r="B805" s="1" t="s">
        <v>118</v>
      </c>
      <c r="C805">
        <v>1.8</v>
      </c>
      <c r="D805" s="72">
        <f>PRODUCTOS[[#This Row],[V/U VENTA]]*PRODUCTOS[[#This Row],[CANTIDAD]]</f>
        <v>0</v>
      </c>
      <c r="E805">
        <v>5</v>
      </c>
      <c r="F805">
        <v>10</v>
      </c>
      <c r="G805">
        <v>0</v>
      </c>
      <c r="H805">
        <v>1</v>
      </c>
      <c r="I805" t="s">
        <v>1320</v>
      </c>
      <c r="J805" s="72">
        <v>0</v>
      </c>
    </row>
    <row r="806" spans="1:10" x14ac:dyDescent="0.25">
      <c r="A806" t="s">
        <v>1686</v>
      </c>
      <c r="B806" s="1" t="s">
        <v>242</v>
      </c>
      <c r="C806">
        <v>0.5</v>
      </c>
      <c r="D806" s="72">
        <f>PRODUCTOS[[#This Row],[V/U VENTA]]*PRODUCTOS[[#This Row],[CANTIDAD]]</f>
        <v>7.5</v>
      </c>
      <c r="E806">
        <v>5</v>
      </c>
      <c r="F806">
        <v>10</v>
      </c>
      <c r="G806">
        <v>15</v>
      </c>
      <c r="H806">
        <v>1</v>
      </c>
      <c r="I806" t="s">
        <v>1320</v>
      </c>
      <c r="J806" s="72">
        <v>0</v>
      </c>
    </row>
    <row r="807" spans="1:10" x14ac:dyDescent="0.25">
      <c r="A807" t="s">
        <v>1687</v>
      </c>
      <c r="B807" s="1" t="s">
        <v>596</v>
      </c>
      <c r="C807">
        <v>3.8</v>
      </c>
      <c r="D807" s="72">
        <f>PRODUCTOS[[#This Row],[V/U VENTA]]*PRODUCTOS[[#This Row],[CANTIDAD]]</f>
        <v>0</v>
      </c>
      <c r="E807">
        <v>5</v>
      </c>
      <c r="F807">
        <v>10</v>
      </c>
      <c r="G807">
        <v>0</v>
      </c>
      <c r="H807">
        <v>1</v>
      </c>
      <c r="I807" t="s">
        <v>1320</v>
      </c>
      <c r="J807" s="72">
        <v>0</v>
      </c>
    </row>
    <row r="808" spans="1:10" x14ac:dyDescent="0.25">
      <c r="A808" t="s">
        <v>1688</v>
      </c>
      <c r="B808" s="1" t="s">
        <v>54</v>
      </c>
      <c r="C808">
        <v>1.5</v>
      </c>
      <c r="D808" s="72">
        <f>PRODUCTOS[[#This Row],[V/U VENTA]]*PRODUCTOS[[#This Row],[CANTIDAD]]</f>
        <v>4.5</v>
      </c>
      <c r="E808">
        <v>5</v>
      </c>
      <c r="F808">
        <v>10</v>
      </c>
      <c r="G808">
        <v>3</v>
      </c>
      <c r="H808">
        <v>1</v>
      </c>
      <c r="I808" t="s">
        <v>1320</v>
      </c>
      <c r="J808" s="72">
        <v>0</v>
      </c>
    </row>
    <row r="809" spans="1:10" x14ac:dyDescent="0.25">
      <c r="A809" t="s">
        <v>1689</v>
      </c>
      <c r="B809" s="1" t="s">
        <v>52</v>
      </c>
      <c r="C809">
        <v>0.25</v>
      </c>
      <c r="D809" s="72">
        <f>PRODUCTOS[[#This Row],[V/U VENTA]]*PRODUCTOS[[#This Row],[CANTIDAD]]</f>
        <v>16</v>
      </c>
      <c r="E809">
        <v>5</v>
      </c>
      <c r="F809">
        <v>10</v>
      </c>
      <c r="G809">
        <v>64</v>
      </c>
      <c r="H809">
        <v>1</v>
      </c>
      <c r="I809" t="s">
        <v>1320</v>
      </c>
      <c r="J809" s="72">
        <v>0</v>
      </c>
    </row>
    <row r="810" spans="1:10" x14ac:dyDescent="0.25">
      <c r="A810" t="s">
        <v>1690</v>
      </c>
      <c r="B810" s="1" t="s">
        <v>53</v>
      </c>
      <c r="C810">
        <v>0.9</v>
      </c>
      <c r="D810" s="72">
        <f>PRODUCTOS[[#This Row],[V/U VENTA]]*PRODUCTOS[[#This Row],[CANTIDAD]]</f>
        <v>13.5</v>
      </c>
      <c r="E810">
        <v>5</v>
      </c>
      <c r="F810">
        <v>10</v>
      </c>
      <c r="G810">
        <v>15</v>
      </c>
      <c r="H810">
        <v>1</v>
      </c>
      <c r="I810" t="s">
        <v>1320</v>
      </c>
      <c r="J810" s="72">
        <v>0</v>
      </c>
    </row>
    <row r="811" spans="1:10" x14ac:dyDescent="0.25">
      <c r="A811" t="s">
        <v>1691</v>
      </c>
      <c r="B811" s="1" t="s">
        <v>569</v>
      </c>
      <c r="C811">
        <v>6.35</v>
      </c>
      <c r="D811" s="72">
        <f>PRODUCTOS[[#This Row],[V/U VENTA]]*PRODUCTOS[[#This Row],[CANTIDAD]]</f>
        <v>6.35</v>
      </c>
      <c r="E811">
        <v>5</v>
      </c>
      <c r="F811">
        <v>10</v>
      </c>
      <c r="G811">
        <v>1</v>
      </c>
      <c r="H811">
        <v>1</v>
      </c>
      <c r="I811" t="s">
        <v>1320</v>
      </c>
      <c r="J811" s="72">
        <v>0</v>
      </c>
    </row>
    <row r="812" spans="1:10" x14ac:dyDescent="0.25">
      <c r="A812" t="s">
        <v>1692</v>
      </c>
      <c r="B812" s="1" t="s">
        <v>1539</v>
      </c>
      <c r="C812">
        <v>10</v>
      </c>
      <c r="D812" s="72">
        <f>PRODUCTOS[[#This Row],[V/U VENTA]]*PRODUCTOS[[#This Row],[CANTIDAD]]</f>
        <v>10</v>
      </c>
      <c r="E812">
        <v>5</v>
      </c>
      <c r="F812">
        <v>10</v>
      </c>
      <c r="G812">
        <v>1</v>
      </c>
      <c r="H812">
        <v>1</v>
      </c>
      <c r="I812" t="s">
        <v>1320</v>
      </c>
      <c r="J812" s="72">
        <v>0</v>
      </c>
    </row>
    <row r="813" spans="1:10" x14ac:dyDescent="0.25">
      <c r="A813" t="s">
        <v>1693</v>
      </c>
      <c r="B813" s="1" t="s">
        <v>1540</v>
      </c>
      <c r="C813">
        <v>2.15</v>
      </c>
      <c r="D813" s="72">
        <f>PRODUCTOS[[#This Row],[V/U VENTA]]*PRODUCTOS[[#This Row],[CANTIDAD]]</f>
        <v>10.75</v>
      </c>
      <c r="E813">
        <v>5</v>
      </c>
      <c r="F813">
        <v>10</v>
      </c>
      <c r="G813">
        <v>5</v>
      </c>
      <c r="H813">
        <v>1</v>
      </c>
      <c r="I813" t="s">
        <v>1320</v>
      </c>
      <c r="J813" s="72">
        <v>0</v>
      </c>
    </row>
    <row r="814" spans="1:10" x14ac:dyDescent="0.25">
      <c r="A814" t="s">
        <v>1694</v>
      </c>
      <c r="B814" s="1" t="s">
        <v>322</v>
      </c>
      <c r="C814">
        <v>36.99</v>
      </c>
      <c r="D814" s="72">
        <f>PRODUCTOS[[#This Row],[V/U VENTA]]*PRODUCTOS[[#This Row],[CANTIDAD]]</f>
        <v>36.99</v>
      </c>
      <c r="E814">
        <v>5</v>
      </c>
      <c r="F814">
        <v>10</v>
      </c>
      <c r="G814">
        <v>1</v>
      </c>
      <c r="H814">
        <v>1</v>
      </c>
      <c r="I814" t="s">
        <v>1320</v>
      </c>
      <c r="J814" s="72">
        <v>0</v>
      </c>
    </row>
    <row r="815" spans="1:10" x14ac:dyDescent="0.25">
      <c r="A815" t="s">
        <v>1695</v>
      </c>
      <c r="B815" s="1" t="s">
        <v>55</v>
      </c>
      <c r="C815">
        <v>0.45</v>
      </c>
      <c r="D815" s="72">
        <f>PRODUCTOS[[#This Row],[V/U VENTA]]*PRODUCTOS[[#This Row],[CANTIDAD]]</f>
        <v>0</v>
      </c>
      <c r="E815">
        <v>5</v>
      </c>
      <c r="F815">
        <v>10</v>
      </c>
      <c r="G815">
        <v>0</v>
      </c>
      <c r="H815">
        <v>1</v>
      </c>
      <c r="I815" t="s">
        <v>1320</v>
      </c>
      <c r="J815" s="72">
        <v>0</v>
      </c>
    </row>
    <row r="816" spans="1:10" x14ac:dyDescent="0.25">
      <c r="A816" t="s">
        <v>1696</v>
      </c>
      <c r="B816" s="1" t="s">
        <v>188</v>
      </c>
      <c r="C816">
        <v>0.35</v>
      </c>
      <c r="D816" s="72">
        <f>PRODUCTOS[[#This Row],[V/U VENTA]]*PRODUCTOS[[#This Row],[CANTIDAD]]</f>
        <v>17.5</v>
      </c>
      <c r="E816">
        <v>5</v>
      </c>
      <c r="F816">
        <v>10</v>
      </c>
      <c r="G816">
        <v>50</v>
      </c>
      <c r="H816">
        <v>1</v>
      </c>
      <c r="I816" t="s">
        <v>1320</v>
      </c>
      <c r="J816" s="72">
        <v>0</v>
      </c>
    </row>
    <row r="817" spans="1:10" x14ac:dyDescent="0.25">
      <c r="A817" t="s">
        <v>1697</v>
      </c>
      <c r="B817" s="1" t="s">
        <v>1541</v>
      </c>
      <c r="C817">
        <v>0.45</v>
      </c>
      <c r="D817" s="72">
        <f>PRODUCTOS[[#This Row],[V/U VENTA]]*PRODUCTOS[[#This Row],[CANTIDAD]]</f>
        <v>24.75</v>
      </c>
      <c r="E817">
        <v>5</v>
      </c>
      <c r="F817">
        <v>10</v>
      </c>
      <c r="G817">
        <v>55</v>
      </c>
      <c r="H817">
        <v>1</v>
      </c>
      <c r="I817" t="s">
        <v>1320</v>
      </c>
      <c r="J817" s="72">
        <v>0</v>
      </c>
    </row>
    <row r="818" spans="1:10" x14ac:dyDescent="0.25">
      <c r="A818" t="s">
        <v>1698</v>
      </c>
      <c r="B818" s="1" t="s">
        <v>1806</v>
      </c>
      <c r="C818">
        <v>4.3</v>
      </c>
      <c r="D818" s="72">
        <f>PRODUCTOS[[#This Row],[V/U VENTA]]*PRODUCTOS[[#This Row],[CANTIDAD]]</f>
        <v>4.3</v>
      </c>
      <c r="E818">
        <v>5</v>
      </c>
      <c r="F818">
        <v>10</v>
      </c>
      <c r="G818">
        <v>1</v>
      </c>
      <c r="H818">
        <v>1</v>
      </c>
      <c r="I818" t="s">
        <v>1320</v>
      </c>
      <c r="J818" s="72">
        <v>0</v>
      </c>
    </row>
    <row r="819" spans="1:10" x14ac:dyDescent="0.25">
      <c r="A819" t="s">
        <v>1699</v>
      </c>
      <c r="B819" s="1" t="s">
        <v>187</v>
      </c>
      <c r="C819">
        <v>0.2</v>
      </c>
      <c r="D819" s="72">
        <f>PRODUCTOS[[#This Row],[V/U VENTA]]*PRODUCTOS[[#This Row],[CANTIDAD]]</f>
        <v>19</v>
      </c>
      <c r="E819">
        <v>5</v>
      </c>
      <c r="F819">
        <v>10</v>
      </c>
      <c r="G819">
        <v>95</v>
      </c>
      <c r="H819">
        <v>1</v>
      </c>
      <c r="I819" t="s">
        <v>1320</v>
      </c>
      <c r="J819" s="72">
        <v>0</v>
      </c>
    </row>
    <row r="820" spans="1:10" x14ac:dyDescent="0.25">
      <c r="A820" t="s">
        <v>1700</v>
      </c>
      <c r="B820" s="1" t="s">
        <v>1807</v>
      </c>
      <c r="C820">
        <v>0.7</v>
      </c>
      <c r="D820" s="72">
        <f>PRODUCTOS[[#This Row],[V/U VENTA]]*PRODUCTOS[[#This Row],[CANTIDAD]]</f>
        <v>21</v>
      </c>
      <c r="E820">
        <v>5</v>
      </c>
      <c r="F820">
        <v>10</v>
      </c>
      <c r="G820">
        <v>30</v>
      </c>
      <c r="H820">
        <v>1</v>
      </c>
      <c r="I820" t="s">
        <v>1320</v>
      </c>
      <c r="J820" s="72">
        <v>0</v>
      </c>
    </row>
    <row r="821" spans="1:10" x14ac:dyDescent="0.25">
      <c r="A821" t="s">
        <v>1701</v>
      </c>
      <c r="B821" s="1" t="s">
        <v>1542</v>
      </c>
      <c r="C821">
        <v>1.5</v>
      </c>
      <c r="D821" s="72">
        <f>PRODUCTOS[[#This Row],[V/U VENTA]]*PRODUCTOS[[#This Row],[CANTIDAD]]</f>
        <v>0</v>
      </c>
      <c r="E821">
        <v>5</v>
      </c>
      <c r="F821">
        <v>10</v>
      </c>
      <c r="G821">
        <v>0</v>
      </c>
      <c r="H821">
        <v>1</v>
      </c>
      <c r="I821" t="s">
        <v>1320</v>
      </c>
      <c r="J821" s="72">
        <v>0</v>
      </c>
    </row>
    <row r="822" spans="1:10" x14ac:dyDescent="0.25">
      <c r="A822" t="s">
        <v>1702</v>
      </c>
      <c r="B822" s="1" t="s">
        <v>1543</v>
      </c>
      <c r="C822">
        <v>1.25</v>
      </c>
      <c r="D822" s="72">
        <f>PRODUCTOS[[#This Row],[V/U VENTA]]*PRODUCTOS[[#This Row],[CANTIDAD]]</f>
        <v>0</v>
      </c>
      <c r="E822">
        <v>5</v>
      </c>
      <c r="F822">
        <v>10</v>
      </c>
      <c r="G822">
        <v>0</v>
      </c>
      <c r="H822">
        <v>1</v>
      </c>
      <c r="I822" t="s">
        <v>1320</v>
      </c>
      <c r="J822" s="72">
        <v>0</v>
      </c>
    </row>
    <row r="823" spans="1:10" x14ac:dyDescent="0.25">
      <c r="A823" t="s">
        <v>1703</v>
      </c>
      <c r="B823" s="1" t="s">
        <v>1544</v>
      </c>
      <c r="C823">
        <v>1.25</v>
      </c>
      <c r="D823" s="72">
        <f>PRODUCTOS[[#This Row],[V/U VENTA]]*PRODUCTOS[[#This Row],[CANTIDAD]]</f>
        <v>2.5</v>
      </c>
      <c r="E823">
        <v>5</v>
      </c>
      <c r="F823">
        <v>10</v>
      </c>
      <c r="G823">
        <v>2</v>
      </c>
      <c r="H823">
        <v>1</v>
      </c>
      <c r="I823" t="s">
        <v>1320</v>
      </c>
      <c r="J823" s="72">
        <v>0</v>
      </c>
    </row>
    <row r="824" spans="1:10" x14ac:dyDescent="0.25">
      <c r="A824" t="s">
        <v>1704</v>
      </c>
      <c r="B824" s="1" t="s">
        <v>1545</v>
      </c>
      <c r="C824">
        <v>1</v>
      </c>
      <c r="D824" s="72">
        <f>PRODUCTOS[[#This Row],[V/U VENTA]]*PRODUCTOS[[#This Row],[CANTIDAD]]</f>
        <v>2</v>
      </c>
      <c r="E824">
        <v>5</v>
      </c>
      <c r="F824">
        <v>10</v>
      </c>
      <c r="G824">
        <v>2</v>
      </c>
      <c r="H824">
        <v>1</v>
      </c>
      <c r="I824" t="s">
        <v>1320</v>
      </c>
      <c r="J824" s="72">
        <v>0</v>
      </c>
    </row>
    <row r="825" spans="1:10" x14ac:dyDescent="0.25">
      <c r="A825" t="s">
        <v>1705</v>
      </c>
      <c r="B825" s="1" t="s">
        <v>1546</v>
      </c>
      <c r="C825">
        <v>2</v>
      </c>
      <c r="D825" s="72">
        <f>PRODUCTOS[[#This Row],[V/U VENTA]]*PRODUCTOS[[#This Row],[CANTIDAD]]</f>
        <v>6</v>
      </c>
      <c r="E825">
        <v>5</v>
      </c>
      <c r="F825">
        <v>10</v>
      </c>
      <c r="G825">
        <v>3</v>
      </c>
      <c r="H825">
        <v>1</v>
      </c>
      <c r="I825" t="s">
        <v>1320</v>
      </c>
      <c r="J825" s="72">
        <v>0</v>
      </c>
    </row>
    <row r="826" spans="1:10" x14ac:dyDescent="0.25">
      <c r="A826" t="s">
        <v>1706</v>
      </c>
      <c r="B826" s="1" t="s">
        <v>1547</v>
      </c>
      <c r="C826">
        <v>2</v>
      </c>
      <c r="D826" s="72">
        <f>PRODUCTOS[[#This Row],[V/U VENTA]]*PRODUCTOS[[#This Row],[CANTIDAD]]</f>
        <v>6</v>
      </c>
      <c r="E826">
        <v>5</v>
      </c>
      <c r="F826">
        <v>10</v>
      </c>
      <c r="G826">
        <v>3</v>
      </c>
      <c r="H826">
        <v>1</v>
      </c>
      <c r="I826" t="s">
        <v>1320</v>
      </c>
      <c r="J826" s="72">
        <v>0</v>
      </c>
    </row>
    <row r="827" spans="1:10" x14ac:dyDescent="0.25">
      <c r="A827" t="s">
        <v>1707</v>
      </c>
      <c r="B827" s="1" t="s">
        <v>1548</v>
      </c>
      <c r="C827">
        <v>2</v>
      </c>
      <c r="D827" s="72">
        <f>PRODUCTOS[[#This Row],[V/U VENTA]]*PRODUCTOS[[#This Row],[CANTIDAD]]</f>
        <v>6</v>
      </c>
      <c r="E827">
        <v>5</v>
      </c>
      <c r="F827">
        <v>10</v>
      </c>
      <c r="G827">
        <v>3</v>
      </c>
      <c r="H827">
        <v>1</v>
      </c>
      <c r="I827" t="s">
        <v>1320</v>
      </c>
      <c r="J827" s="72">
        <v>0</v>
      </c>
    </row>
    <row r="828" spans="1:10" x14ac:dyDescent="0.25">
      <c r="A828" t="s">
        <v>1708</v>
      </c>
      <c r="B828" s="1" t="s">
        <v>1549</v>
      </c>
      <c r="C828">
        <v>2</v>
      </c>
      <c r="D828" s="72">
        <f>PRODUCTOS[[#This Row],[V/U VENTA]]*PRODUCTOS[[#This Row],[CANTIDAD]]</f>
        <v>6</v>
      </c>
      <c r="E828">
        <v>5</v>
      </c>
      <c r="F828">
        <v>10</v>
      </c>
      <c r="G828">
        <v>3</v>
      </c>
      <c r="H828">
        <v>1</v>
      </c>
      <c r="I828" t="s">
        <v>1320</v>
      </c>
      <c r="J828" s="72">
        <v>0</v>
      </c>
    </row>
    <row r="829" spans="1:10" x14ac:dyDescent="0.25">
      <c r="A829" t="s">
        <v>1709</v>
      </c>
      <c r="B829" s="1" t="s">
        <v>1550</v>
      </c>
      <c r="C829">
        <v>2</v>
      </c>
      <c r="D829" s="72">
        <f>PRODUCTOS[[#This Row],[V/U VENTA]]*PRODUCTOS[[#This Row],[CANTIDAD]]</f>
        <v>6</v>
      </c>
      <c r="E829">
        <v>5</v>
      </c>
      <c r="F829">
        <v>10</v>
      </c>
      <c r="G829">
        <v>3</v>
      </c>
      <c r="H829">
        <v>1</v>
      </c>
      <c r="I829" t="s">
        <v>1320</v>
      </c>
      <c r="J829" s="72">
        <v>0</v>
      </c>
    </row>
    <row r="830" spans="1:10" x14ac:dyDescent="0.25">
      <c r="A830" t="s">
        <v>1710</v>
      </c>
      <c r="B830" s="1" t="s">
        <v>1551</v>
      </c>
      <c r="C830">
        <v>1.5</v>
      </c>
      <c r="D830" s="72">
        <f>PRODUCTOS[[#This Row],[V/U VENTA]]*PRODUCTOS[[#This Row],[CANTIDAD]]</f>
        <v>4.5</v>
      </c>
      <c r="E830">
        <v>5</v>
      </c>
      <c r="F830">
        <v>10</v>
      </c>
      <c r="G830">
        <v>3</v>
      </c>
      <c r="H830">
        <v>1</v>
      </c>
      <c r="I830" t="s">
        <v>1320</v>
      </c>
      <c r="J830" s="72">
        <v>0</v>
      </c>
    </row>
    <row r="831" spans="1:10" x14ac:dyDescent="0.25">
      <c r="A831" t="s">
        <v>1711</v>
      </c>
      <c r="B831" s="1" t="s">
        <v>1808</v>
      </c>
      <c r="C831">
        <v>2.5</v>
      </c>
      <c r="D831" s="72">
        <f>PRODUCTOS[[#This Row],[V/U VENTA]]*PRODUCTOS[[#This Row],[CANTIDAD]]</f>
        <v>5</v>
      </c>
      <c r="E831">
        <v>5</v>
      </c>
      <c r="F831">
        <v>10</v>
      </c>
      <c r="G831">
        <v>2</v>
      </c>
      <c r="H831">
        <v>1</v>
      </c>
      <c r="I831" t="s">
        <v>1320</v>
      </c>
      <c r="J831" s="72">
        <v>1</v>
      </c>
    </row>
    <row r="832" spans="1:10" x14ac:dyDescent="0.25">
      <c r="A832" t="s">
        <v>1712</v>
      </c>
      <c r="B832" s="1" t="s">
        <v>1552</v>
      </c>
      <c r="C832">
        <v>2</v>
      </c>
      <c r="D832" s="72">
        <f>PRODUCTOS[[#This Row],[V/U VENTA]]*PRODUCTOS[[#This Row],[CANTIDAD]]</f>
        <v>4</v>
      </c>
      <c r="E832">
        <v>5</v>
      </c>
      <c r="F832">
        <v>10</v>
      </c>
      <c r="G832">
        <v>2</v>
      </c>
      <c r="H832">
        <v>1</v>
      </c>
      <c r="I832" t="s">
        <v>1320</v>
      </c>
      <c r="J832" s="72">
        <v>1</v>
      </c>
    </row>
    <row r="833" spans="1:10" x14ac:dyDescent="0.25">
      <c r="A833" t="s">
        <v>1713</v>
      </c>
      <c r="B833" s="1" t="s">
        <v>1553</v>
      </c>
      <c r="C833">
        <v>1</v>
      </c>
      <c r="D833" s="72">
        <f>PRODUCTOS[[#This Row],[V/U VENTA]]*PRODUCTOS[[#This Row],[CANTIDAD]]</f>
        <v>4</v>
      </c>
      <c r="E833">
        <v>5</v>
      </c>
      <c r="F833">
        <v>10</v>
      </c>
      <c r="G833">
        <v>4</v>
      </c>
      <c r="H833">
        <v>1</v>
      </c>
      <c r="I833" t="s">
        <v>1320</v>
      </c>
      <c r="J833" s="72">
        <v>1</v>
      </c>
    </row>
    <row r="834" spans="1:10" x14ac:dyDescent="0.25">
      <c r="A834" t="s">
        <v>1714</v>
      </c>
      <c r="B834" s="1" t="s">
        <v>1554</v>
      </c>
      <c r="C834">
        <v>0.5</v>
      </c>
      <c r="D834" s="72">
        <f>PRODUCTOS[[#This Row],[V/U VENTA]]*PRODUCTOS[[#This Row],[CANTIDAD]]</f>
        <v>3</v>
      </c>
      <c r="E834">
        <v>5</v>
      </c>
      <c r="F834">
        <v>10</v>
      </c>
      <c r="G834">
        <v>6</v>
      </c>
      <c r="H834">
        <v>1</v>
      </c>
      <c r="I834" t="s">
        <v>1320</v>
      </c>
      <c r="J834" s="72">
        <v>1</v>
      </c>
    </row>
    <row r="835" spans="1:10" x14ac:dyDescent="0.25">
      <c r="A835" t="s">
        <v>1715</v>
      </c>
      <c r="B835" s="1" t="s">
        <v>1555</v>
      </c>
      <c r="C835">
        <v>2</v>
      </c>
      <c r="D835" s="72">
        <f>PRODUCTOS[[#This Row],[V/U VENTA]]*PRODUCTOS[[#This Row],[CANTIDAD]]</f>
        <v>4</v>
      </c>
      <c r="E835">
        <v>5</v>
      </c>
      <c r="F835">
        <v>10</v>
      </c>
      <c r="G835">
        <v>2</v>
      </c>
      <c r="H835">
        <v>1</v>
      </c>
      <c r="I835" t="s">
        <v>1320</v>
      </c>
      <c r="J835" s="72">
        <v>1</v>
      </c>
    </row>
    <row r="836" spans="1:10" x14ac:dyDescent="0.25">
      <c r="A836" t="s">
        <v>1716</v>
      </c>
      <c r="B836" s="1" t="s">
        <v>1556</v>
      </c>
      <c r="C836">
        <v>2.5</v>
      </c>
      <c r="D836" s="72">
        <f>PRODUCTOS[[#This Row],[V/U VENTA]]*PRODUCTOS[[#This Row],[CANTIDAD]]</f>
        <v>5</v>
      </c>
      <c r="E836">
        <v>5</v>
      </c>
      <c r="F836">
        <v>10</v>
      </c>
      <c r="G836">
        <v>2</v>
      </c>
      <c r="H836">
        <v>1</v>
      </c>
      <c r="I836" t="s">
        <v>1320</v>
      </c>
      <c r="J836" s="72">
        <v>1</v>
      </c>
    </row>
    <row r="837" spans="1:10" x14ac:dyDescent="0.25">
      <c r="A837" t="s">
        <v>1717</v>
      </c>
      <c r="B837" s="1" t="s">
        <v>1557</v>
      </c>
      <c r="C837">
        <v>1</v>
      </c>
      <c r="D837" s="72">
        <f>PRODUCTOS[[#This Row],[V/U VENTA]]*PRODUCTOS[[#This Row],[CANTIDAD]]</f>
        <v>2</v>
      </c>
      <c r="E837">
        <v>5</v>
      </c>
      <c r="F837">
        <v>10</v>
      </c>
      <c r="G837">
        <v>2</v>
      </c>
      <c r="H837">
        <v>1</v>
      </c>
      <c r="I837" t="s">
        <v>1320</v>
      </c>
      <c r="J837" s="72">
        <v>1</v>
      </c>
    </row>
    <row r="838" spans="1:10" x14ac:dyDescent="0.25">
      <c r="A838" t="s">
        <v>1718</v>
      </c>
      <c r="B838" s="1" t="s">
        <v>1558</v>
      </c>
      <c r="C838">
        <v>3.5</v>
      </c>
      <c r="D838" s="72">
        <f>PRODUCTOS[[#This Row],[V/U VENTA]]*PRODUCTOS[[#This Row],[CANTIDAD]]</f>
        <v>7</v>
      </c>
      <c r="E838">
        <v>5</v>
      </c>
      <c r="F838">
        <v>10</v>
      </c>
      <c r="G838">
        <v>2</v>
      </c>
      <c r="H838">
        <v>1</v>
      </c>
      <c r="I838" t="s">
        <v>1320</v>
      </c>
      <c r="J838" s="72">
        <v>1</v>
      </c>
    </row>
    <row r="839" spans="1:10" x14ac:dyDescent="0.25">
      <c r="A839" t="s">
        <v>1719</v>
      </c>
      <c r="B839" s="1" t="s">
        <v>1559</v>
      </c>
      <c r="C839">
        <v>3</v>
      </c>
      <c r="D839" s="72">
        <f>PRODUCTOS[[#This Row],[V/U VENTA]]*PRODUCTOS[[#This Row],[CANTIDAD]]</f>
        <v>9</v>
      </c>
      <c r="E839">
        <v>5</v>
      </c>
      <c r="F839">
        <v>10</v>
      </c>
      <c r="G839">
        <v>3</v>
      </c>
      <c r="H839">
        <v>1</v>
      </c>
      <c r="I839" t="s">
        <v>1320</v>
      </c>
      <c r="J839" s="72">
        <v>1</v>
      </c>
    </row>
    <row r="840" spans="1:10" x14ac:dyDescent="0.25">
      <c r="A840" t="s">
        <v>1720</v>
      </c>
      <c r="B840" s="1" t="s">
        <v>1560</v>
      </c>
      <c r="C840">
        <v>2.5</v>
      </c>
      <c r="D840" s="72">
        <f>PRODUCTOS[[#This Row],[V/U VENTA]]*PRODUCTOS[[#This Row],[CANTIDAD]]</f>
        <v>7.5</v>
      </c>
      <c r="E840">
        <v>5</v>
      </c>
      <c r="F840">
        <v>10</v>
      </c>
      <c r="G840">
        <v>3</v>
      </c>
      <c r="H840">
        <v>1</v>
      </c>
      <c r="I840" t="s">
        <v>1320</v>
      </c>
      <c r="J840" s="72">
        <v>1</v>
      </c>
    </row>
    <row r="841" spans="1:10" x14ac:dyDescent="0.25">
      <c r="A841" t="s">
        <v>1721</v>
      </c>
      <c r="B841" s="1" t="s">
        <v>1561</v>
      </c>
      <c r="C841">
        <v>6.5</v>
      </c>
      <c r="D841" s="72">
        <f>PRODUCTOS[[#This Row],[V/U VENTA]]*PRODUCTOS[[#This Row],[CANTIDAD]]</f>
        <v>6.5</v>
      </c>
      <c r="E841">
        <v>5</v>
      </c>
      <c r="F841">
        <v>10</v>
      </c>
      <c r="G841">
        <v>1</v>
      </c>
      <c r="H841">
        <v>1</v>
      </c>
      <c r="I841" t="s">
        <v>1320</v>
      </c>
      <c r="J841" s="72">
        <v>1</v>
      </c>
    </row>
    <row r="842" spans="1:10" x14ac:dyDescent="0.25">
      <c r="A842" t="s">
        <v>1722</v>
      </c>
      <c r="B842" s="1" t="s">
        <v>1562</v>
      </c>
      <c r="C842">
        <v>0.5</v>
      </c>
      <c r="D842" s="72">
        <f>PRODUCTOS[[#This Row],[V/U VENTA]]*PRODUCTOS[[#This Row],[CANTIDAD]]</f>
        <v>2.5</v>
      </c>
      <c r="E842">
        <v>5</v>
      </c>
      <c r="F842">
        <v>10</v>
      </c>
      <c r="G842">
        <v>5</v>
      </c>
      <c r="H842">
        <v>1</v>
      </c>
      <c r="I842" t="s">
        <v>1320</v>
      </c>
      <c r="J842" s="72">
        <v>1</v>
      </c>
    </row>
    <row r="843" spans="1:10" x14ac:dyDescent="0.25">
      <c r="A843" t="s">
        <v>1723</v>
      </c>
      <c r="B843" s="1" t="s">
        <v>1563</v>
      </c>
      <c r="C843">
        <v>0.5</v>
      </c>
      <c r="D843" s="72">
        <f>PRODUCTOS[[#This Row],[V/U VENTA]]*PRODUCTOS[[#This Row],[CANTIDAD]]</f>
        <v>1</v>
      </c>
      <c r="E843">
        <v>5</v>
      </c>
      <c r="F843">
        <v>10</v>
      </c>
      <c r="G843">
        <v>2</v>
      </c>
      <c r="H843">
        <v>1</v>
      </c>
      <c r="I843" t="s">
        <v>1320</v>
      </c>
      <c r="J843" s="72">
        <v>1</v>
      </c>
    </row>
    <row r="844" spans="1:10" x14ac:dyDescent="0.25">
      <c r="A844" t="s">
        <v>1724</v>
      </c>
      <c r="B844" s="1" t="s">
        <v>1564</v>
      </c>
      <c r="C844">
        <v>0.5</v>
      </c>
      <c r="D844" s="72">
        <f>PRODUCTOS[[#This Row],[V/U VENTA]]*PRODUCTOS[[#This Row],[CANTIDAD]]</f>
        <v>1</v>
      </c>
      <c r="E844">
        <v>5</v>
      </c>
      <c r="F844">
        <v>10</v>
      </c>
      <c r="G844">
        <v>2</v>
      </c>
      <c r="H844">
        <v>1</v>
      </c>
      <c r="I844" t="s">
        <v>1320</v>
      </c>
      <c r="J844" s="72">
        <v>1</v>
      </c>
    </row>
    <row r="845" spans="1:10" x14ac:dyDescent="0.25">
      <c r="A845" t="s">
        <v>1725</v>
      </c>
      <c r="B845" s="1" t="s">
        <v>1565</v>
      </c>
      <c r="C845">
        <v>0.5</v>
      </c>
      <c r="D845" s="72">
        <f>PRODUCTOS[[#This Row],[V/U VENTA]]*PRODUCTOS[[#This Row],[CANTIDAD]]</f>
        <v>5.5</v>
      </c>
      <c r="E845">
        <v>5</v>
      </c>
      <c r="F845">
        <v>10</v>
      </c>
      <c r="G845">
        <v>11</v>
      </c>
      <c r="H845">
        <v>1</v>
      </c>
      <c r="I845" t="s">
        <v>1320</v>
      </c>
      <c r="J845" s="72">
        <v>1</v>
      </c>
    </row>
    <row r="846" spans="1:10" x14ac:dyDescent="0.25">
      <c r="A846" t="s">
        <v>1726</v>
      </c>
      <c r="B846" s="1" t="s">
        <v>1566</v>
      </c>
      <c r="C846">
        <v>1</v>
      </c>
      <c r="D846" s="72">
        <f>PRODUCTOS[[#This Row],[V/U VENTA]]*PRODUCTOS[[#This Row],[CANTIDAD]]</f>
        <v>7</v>
      </c>
      <c r="E846">
        <v>5</v>
      </c>
      <c r="F846">
        <v>10</v>
      </c>
      <c r="G846">
        <v>7</v>
      </c>
      <c r="H846">
        <v>1</v>
      </c>
      <c r="I846" t="s">
        <v>1320</v>
      </c>
      <c r="J846" s="72">
        <v>1</v>
      </c>
    </row>
    <row r="847" spans="1:10" x14ac:dyDescent="0.25">
      <c r="A847" t="s">
        <v>1727</v>
      </c>
      <c r="B847" s="1" t="s">
        <v>1567</v>
      </c>
      <c r="C847">
        <v>0.75</v>
      </c>
      <c r="D847" s="72">
        <f>PRODUCTOS[[#This Row],[V/U VENTA]]*PRODUCTOS[[#This Row],[CANTIDAD]]</f>
        <v>1.5</v>
      </c>
      <c r="E847">
        <v>5</v>
      </c>
      <c r="F847">
        <v>10</v>
      </c>
      <c r="G847">
        <v>2</v>
      </c>
      <c r="H847">
        <v>1</v>
      </c>
      <c r="I847" t="s">
        <v>1320</v>
      </c>
      <c r="J847" s="72">
        <v>1</v>
      </c>
    </row>
    <row r="848" spans="1:10" x14ac:dyDescent="0.25">
      <c r="A848" t="s">
        <v>1728</v>
      </c>
      <c r="B848" s="1" t="s">
        <v>1568</v>
      </c>
      <c r="C848">
        <v>2.5</v>
      </c>
      <c r="D848" s="72">
        <f>PRODUCTOS[[#This Row],[V/U VENTA]]*PRODUCTOS[[#This Row],[CANTIDAD]]</f>
        <v>2.5</v>
      </c>
      <c r="E848">
        <v>5</v>
      </c>
      <c r="F848">
        <v>10</v>
      </c>
      <c r="G848">
        <v>1</v>
      </c>
      <c r="H848">
        <v>1</v>
      </c>
      <c r="I848" t="s">
        <v>1320</v>
      </c>
      <c r="J848" s="72">
        <v>1</v>
      </c>
    </row>
    <row r="849" spans="1:10" x14ac:dyDescent="0.25">
      <c r="A849" t="s">
        <v>1729</v>
      </c>
      <c r="B849" s="1" t="s">
        <v>1569</v>
      </c>
      <c r="C849">
        <v>4.8</v>
      </c>
      <c r="D849" s="72">
        <f>PRODUCTOS[[#This Row],[V/U VENTA]]*PRODUCTOS[[#This Row],[CANTIDAD]]</f>
        <v>4.8</v>
      </c>
      <c r="E849">
        <v>5</v>
      </c>
      <c r="F849">
        <v>10</v>
      </c>
      <c r="G849">
        <v>1</v>
      </c>
      <c r="H849">
        <v>1</v>
      </c>
      <c r="I849" t="s">
        <v>1320</v>
      </c>
      <c r="J849" s="72">
        <v>1</v>
      </c>
    </row>
    <row r="850" spans="1:10" x14ac:dyDescent="0.25">
      <c r="A850" t="s">
        <v>1730</v>
      </c>
      <c r="B850" s="1" t="s">
        <v>1570</v>
      </c>
      <c r="C850">
        <v>3.25</v>
      </c>
      <c r="D850" s="72">
        <f>PRODUCTOS[[#This Row],[V/U VENTA]]*PRODUCTOS[[#This Row],[CANTIDAD]]</f>
        <v>3.25</v>
      </c>
      <c r="E850">
        <v>5</v>
      </c>
      <c r="F850">
        <v>10</v>
      </c>
      <c r="G850">
        <v>1</v>
      </c>
      <c r="H850">
        <v>1</v>
      </c>
      <c r="I850" t="s">
        <v>1320</v>
      </c>
      <c r="J850" s="72">
        <v>1</v>
      </c>
    </row>
    <row r="851" spans="1:10" x14ac:dyDescent="0.25">
      <c r="A851" t="s">
        <v>1731</v>
      </c>
      <c r="B851" s="1" t="s">
        <v>1571</v>
      </c>
      <c r="C851">
        <v>4</v>
      </c>
      <c r="D851" s="72">
        <f>PRODUCTOS[[#This Row],[V/U VENTA]]*PRODUCTOS[[#This Row],[CANTIDAD]]</f>
        <v>8</v>
      </c>
      <c r="E851">
        <v>5</v>
      </c>
      <c r="F851">
        <v>10</v>
      </c>
      <c r="G851">
        <v>2</v>
      </c>
      <c r="H851">
        <v>1</v>
      </c>
      <c r="I851" t="s">
        <v>1320</v>
      </c>
      <c r="J851" s="72">
        <v>1</v>
      </c>
    </row>
    <row r="852" spans="1:10" x14ac:dyDescent="0.25">
      <c r="A852" t="s">
        <v>1732</v>
      </c>
      <c r="B852" s="1" t="s">
        <v>1572</v>
      </c>
      <c r="C852">
        <v>0.5</v>
      </c>
      <c r="D852" s="72">
        <f>PRODUCTOS[[#This Row],[V/U VENTA]]*PRODUCTOS[[#This Row],[CANTIDAD]]</f>
        <v>2</v>
      </c>
      <c r="E852">
        <v>5</v>
      </c>
      <c r="F852">
        <v>10</v>
      </c>
      <c r="G852">
        <v>4</v>
      </c>
      <c r="H852">
        <v>1</v>
      </c>
      <c r="I852" t="s">
        <v>1320</v>
      </c>
      <c r="J852" s="72">
        <v>1</v>
      </c>
    </row>
    <row r="853" spans="1:10" x14ac:dyDescent="0.25">
      <c r="A853" t="s">
        <v>1733</v>
      </c>
      <c r="B853" s="1" t="s">
        <v>1573</v>
      </c>
      <c r="C853">
        <v>1.25</v>
      </c>
      <c r="D853" s="72">
        <f>PRODUCTOS[[#This Row],[V/U VENTA]]*PRODUCTOS[[#This Row],[CANTIDAD]]</f>
        <v>3.75</v>
      </c>
      <c r="E853">
        <v>5</v>
      </c>
      <c r="F853">
        <v>10</v>
      </c>
      <c r="G853">
        <v>3</v>
      </c>
      <c r="H853">
        <v>1</v>
      </c>
      <c r="I853" t="s">
        <v>1320</v>
      </c>
      <c r="J853" s="72">
        <v>1</v>
      </c>
    </row>
    <row r="854" spans="1:10" x14ac:dyDescent="0.25">
      <c r="A854" t="s">
        <v>1734</v>
      </c>
      <c r="B854" s="1" t="s">
        <v>1574</v>
      </c>
      <c r="C854">
        <v>1</v>
      </c>
      <c r="D854" s="72">
        <f>PRODUCTOS[[#This Row],[V/U VENTA]]*PRODUCTOS[[#This Row],[CANTIDAD]]</f>
        <v>8</v>
      </c>
      <c r="E854">
        <v>5</v>
      </c>
      <c r="F854">
        <v>10</v>
      </c>
      <c r="G854">
        <v>8</v>
      </c>
      <c r="H854">
        <v>1</v>
      </c>
      <c r="I854" t="s">
        <v>1320</v>
      </c>
      <c r="J854" s="72">
        <v>1</v>
      </c>
    </row>
    <row r="855" spans="1:10" x14ac:dyDescent="0.25">
      <c r="A855" t="s">
        <v>1735</v>
      </c>
      <c r="B855" s="1" t="s">
        <v>1575</v>
      </c>
      <c r="C855">
        <v>3</v>
      </c>
      <c r="D855" s="72">
        <f>PRODUCTOS[[#This Row],[V/U VENTA]]*PRODUCTOS[[#This Row],[CANTIDAD]]</f>
        <v>3</v>
      </c>
      <c r="E855">
        <v>5</v>
      </c>
      <c r="F855">
        <v>10</v>
      </c>
      <c r="G855">
        <v>1</v>
      </c>
      <c r="H855">
        <v>1</v>
      </c>
      <c r="I855" t="s">
        <v>1320</v>
      </c>
      <c r="J855" s="72">
        <v>1</v>
      </c>
    </row>
    <row r="856" spans="1:10" x14ac:dyDescent="0.25">
      <c r="A856" t="s">
        <v>1736</v>
      </c>
      <c r="B856" s="1" t="s">
        <v>1576</v>
      </c>
      <c r="C856">
        <v>5</v>
      </c>
      <c r="D856" s="72">
        <f>PRODUCTOS[[#This Row],[V/U VENTA]]*PRODUCTOS[[#This Row],[CANTIDAD]]</f>
        <v>5</v>
      </c>
      <c r="E856">
        <v>5</v>
      </c>
      <c r="F856">
        <v>10</v>
      </c>
      <c r="G856">
        <v>1</v>
      </c>
      <c r="H856">
        <v>1</v>
      </c>
      <c r="I856" t="s">
        <v>1320</v>
      </c>
      <c r="J856" s="72">
        <v>1</v>
      </c>
    </row>
    <row r="857" spans="1:10" x14ac:dyDescent="0.25">
      <c r="A857" t="s">
        <v>1737</v>
      </c>
      <c r="B857" s="1" t="s">
        <v>1577</v>
      </c>
      <c r="C857">
        <v>5</v>
      </c>
      <c r="D857" s="72">
        <f>PRODUCTOS[[#This Row],[V/U VENTA]]*PRODUCTOS[[#This Row],[CANTIDAD]]</f>
        <v>5</v>
      </c>
      <c r="E857">
        <v>5</v>
      </c>
      <c r="F857">
        <v>10</v>
      </c>
      <c r="G857">
        <v>1</v>
      </c>
      <c r="H857">
        <v>1</v>
      </c>
      <c r="I857" t="s">
        <v>1320</v>
      </c>
      <c r="J857" s="72">
        <v>1</v>
      </c>
    </row>
    <row r="858" spans="1:10" x14ac:dyDescent="0.25">
      <c r="A858" t="s">
        <v>1738</v>
      </c>
      <c r="B858" s="1" t="s">
        <v>1578</v>
      </c>
      <c r="C858">
        <v>3.5</v>
      </c>
      <c r="D858" s="72">
        <f>PRODUCTOS[[#This Row],[V/U VENTA]]*PRODUCTOS[[#This Row],[CANTIDAD]]</f>
        <v>10.5</v>
      </c>
      <c r="E858">
        <v>5</v>
      </c>
      <c r="F858">
        <v>10</v>
      </c>
      <c r="G858">
        <v>3</v>
      </c>
      <c r="H858">
        <v>1</v>
      </c>
      <c r="I858" t="s">
        <v>1320</v>
      </c>
      <c r="J858" s="72">
        <v>1</v>
      </c>
    </row>
    <row r="859" spans="1:10" x14ac:dyDescent="0.25">
      <c r="A859" t="s">
        <v>1739</v>
      </c>
      <c r="B859" s="1" t="s">
        <v>1579</v>
      </c>
      <c r="C859">
        <v>6</v>
      </c>
      <c r="D859" s="72">
        <f>PRODUCTOS[[#This Row],[V/U VENTA]]*PRODUCTOS[[#This Row],[CANTIDAD]]</f>
        <v>6</v>
      </c>
      <c r="E859">
        <v>5</v>
      </c>
      <c r="F859">
        <v>10</v>
      </c>
      <c r="G859">
        <v>1</v>
      </c>
      <c r="H859">
        <v>1</v>
      </c>
      <c r="I859" t="s">
        <v>1320</v>
      </c>
      <c r="J859" s="72">
        <v>1</v>
      </c>
    </row>
    <row r="860" spans="1:10" x14ac:dyDescent="0.25">
      <c r="A860" t="s">
        <v>1740</v>
      </c>
      <c r="B860" s="1" t="s">
        <v>1580</v>
      </c>
      <c r="C860">
        <v>3.5</v>
      </c>
      <c r="D860" s="72">
        <f>PRODUCTOS[[#This Row],[V/U VENTA]]*PRODUCTOS[[#This Row],[CANTIDAD]]</f>
        <v>3.5</v>
      </c>
      <c r="E860">
        <v>5</v>
      </c>
      <c r="F860">
        <v>10</v>
      </c>
      <c r="G860">
        <v>1</v>
      </c>
      <c r="H860">
        <v>1</v>
      </c>
      <c r="I860" t="s">
        <v>1320</v>
      </c>
      <c r="J860" s="72">
        <v>1</v>
      </c>
    </row>
    <row r="861" spans="1:10" x14ac:dyDescent="0.25">
      <c r="A861" t="s">
        <v>1741</v>
      </c>
      <c r="B861" s="1" t="s">
        <v>1581</v>
      </c>
      <c r="C861">
        <v>5</v>
      </c>
      <c r="D861" s="72">
        <f>PRODUCTOS[[#This Row],[V/U VENTA]]*PRODUCTOS[[#This Row],[CANTIDAD]]</f>
        <v>10</v>
      </c>
      <c r="E861">
        <v>5</v>
      </c>
      <c r="F861">
        <v>10</v>
      </c>
      <c r="G861">
        <v>2</v>
      </c>
      <c r="H861">
        <v>1</v>
      </c>
      <c r="I861" t="s">
        <v>1320</v>
      </c>
      <c r="J861" s="72">
        <v>1</v>
      </c>
    </row>
    <row r="862" spans="1:10" x14ac:dyDescent="0.25">
      <c r="A862" t="s">
        <v>1742</v>
      </c>
      <c r="B862" s="1" t="s">
        <v>1582</v>
      </c>
      <c r="C862">
        <v>6</v>
      </c>
      <c r="D862" s="72">
        <f>PRODUCTOS[[#This Row],[V/U VENTA]]*PRODUCTOS[[#This Row],[CANTIDAD]]</f>
        <v>12</v>
      </c>
      <c r="E862">
        <v>5</v>
      </c>
      <c r="F862">
        <v>10</v>
      </c>
      <c r="G862">
        <v>2</v>
      </c>
      <c r="H862">
        <v>1</v>
      </c>
      <c r="I862" t="s">
        <v>1320</v>
      </c>
      <c r="J862" s="72">
        <v>1</v>
      </c>
    </row>
    <row r="863" spans="1:10" x14ac:dyDescent="0.25">
      <c r="A863" t="s">
        <v>1743</v>
      </c>
      <c r="B863" s="1" t="s">
        <v>1583</v>
      </c>
      <c r="C863">
        <v>6</v>
      </c>
      <c r="D863" s="72">
        <f>PRODUCTOS[[#This Row],[V/U VENTA]]*PRODUCTOS[[#This Row],[CANTIDAD]]</f>
        <v>12</v>
      </c>
      <c r="E863">
        <v>5</v>
      </c>
      <c r="F863">
        <v>10</v>
      </c>
      <c r="G863">
        <v>2</v>
      </c>
      <c r="H863">
        <v>1</v>
      </c>
      <c r="I863" t="s">
        <v>1320</v>
      </c>
      <c r="J863" s="72">
        <v>1</v>
      </c>
    </row>
    <row r="864" spans="1:10" x14ac:dyDescent="0.25">
      <c r="A864" t="s">
        <v>1744</v>
      </c>
      <c r="B864" s="1" t="s">
        <v>1584</v>
      </c>
      <c r="C864">
        <v>3</v>
      </c>
      <c r="D864" s="72">
        <f>PRODUCTOS[[#This Row],[V/U VENTA]]*PRODUCTOS[[#This Row],[CANTIDAD]]</f>
        <v>6</v>
      </c>
      <c r="E864">
        <v>5</v>
      </c>
      <c r="F864">
        <v>10</v>
      </c>
      <c r="G864">
        <v>2</v>
      </c>
      <c r="H864">
        <v>1</v>
      </c>
      <c r="I864" t="s">
        <v>1320</v>
      </c>
      <c r="J864" s="72">
        <v>1</v>
      </c>
    </row>
    <row r="865" spans="1:10" x14ac:dyDescent="0.25">
      <c r="A865" t="s">
        <v>1745</v>
      </c>
      <c r="B865" s="1" t="s">
        <v>1585</v>
      </c>
      <c r="C865">
        <v>3</v>
      </c>
      <c r="D865" s="72">
        <f>PRODUCTOS[[#This Row],[V/U VENTA]]*PRODUCTOS[[#This Row],[CANTIDAD]]</f>
        <v>12</v>
      </c>
      <c r="E865">
        <v>5</v>
      </c>
      <c r="F865">
        <v>10</v>
      </c>
      <c r="G865">
        <v>4</v>
      </c>
      <c r="H865">
        <v>1</v>
      </c>
      <c r="I865" t="s">
        <v>1320</v>
      </c>
      <c r="J865" s="72">
        <v>1</v>
      </c>
    </row>
    <row r="866" spans="1:10" x14ac:dyDescent="0.25">
      <c r="A866" t="s">
        <v>1746</v>
      </c>
      <c r="B866" s="1" t="s">
        <v>1586</v>
      </c>
      <c r="C866">
        <v>3</v>
      </c>
      <c r="D866" s="72">
        <f>PRODUCTOS[[#This Row],[V/U VENTA]]*PRODUCTOS[[#This Row],[CANTIDAD]]</f>
        <v>6</v>
      </c>
      <c r="E866">
        <v>5</v>
      </c>
      <c r="F866">
        <v>10</v>
      </c>
      <c r="G866">
        <v>2</v>
      </c>
      <c r="H866">
        <v>1</v>
      </c>
      <c r="I866" t="s">
        <v>1320</v>
      </c>
      <c r="J866" s="72">
        <v>1</v>
      </c>
    </row>
    <row r="867" spans="1:10" x14ac:dyDescent="0.25">
      <c r="A867" t="s">
        <v>1747</v>
      </c>
      <c r="B867" s="1" t="s">
        <v>1587</v>
      </c>
      <c r="C867">
        <v>1</v>
      </c>
      <c r="D867" s="72">
        <f>PRODUCTOS[[#This Row],[V/U VENTA]]*PRODUCTOS[[#This Row],[CANTIDAD]]</f>
        <v>24</v>
      </c>
      <c r="E867">
        <v>5</v>
      </c>
      <c r="F867">
        <v>10</v>
      </c>
      <c r="G867">
        <v>24</v>
      </c>
      <c r="H867">
        <v>1</v>
      </c>
      <c r="I867" t="s">
        <v>1320</v>
      </c>
      <c r="J867" s="72">
        <v>1</v>
      </c>
    </row>
    <row r="868" spans="1:10" x14ac:dyDescent="0.25">
      <c r="A868" t="s">
        <v>1748</v>
      </c>
      <c r="B868" s="1" t="s">
        <v>1588</v>
      </c>
      <c r="C868">
        <v>2.5</v>
      </c>
      <c r="D868" s="72">
        <f>PRODUCTOS[[#This Row],[V/U VENTA]]*PRODUCTOS[[#This Row],[CANTIDAD]]</f>
        <v>2.5</v>
      </c>
      <c r="E868">
        <v>5</v>
      </c>
      <c r="F868">
        <v>10</v>
      </c>
      <c r="G868">
        <v>1</v>
      </c>
      <c r="H868">
        <v>1</v>
      </c>
      <c r="I868" t="s">
        <v>1320</v>
      </c>
      <c r="J868" s="72">
        <v>1</v>
      </c>
    </row>
    <row r="869" spans="1:10" x14ac:dyDescent="0.25">
      <c r="A869" t="s">
        <v>1749</v>
      </c>
      <c r="B869" s="1" t="s">
        <v>1589</v>
      </c>
      <c r="C869">
        <v>2.5</v>
      </c>
      <c r="D869" s="72">
        <f>PRODUCTOS[[#This Row],[V/U VENTA]]*PRODUCTOS[[#This Row],[CANTIDAD]]</f>
        <v>2.5</v>
      </c>
      <c r="E869">
        <v>5</v>
      </c>
      <c r="F869">
        <v>10</v>
      </c>
      <c r="G869">
        <v>1</v>
      </c>
      <c r="H869">
        <v>1</v>
      </c>
      <c r="I869" t="s">
        <v>1320</v>
      </c>
      <c r="J869" s="72">
        <v>1</v>
      </c>
    </row>
    <row r="870" spans="1:10" x14ac:dyDescent="0.25">
      <c r="A870" t="s">
        <v>1814</v>
      </c>
      <c r="B870" t="s">
        <v>1815</v>
      </c>
      <c r="C870">
        <v>0.44</v>
      </c>
      <c r="D870" s="72">
        <f>PRODUCTOS[[#This Row],[V/U VENTA]]*PRODUCTOS[[#This Row],[CANTIDAD]]</f>
        <v>1.76</v>
      </c>
      <c r="E870">
        <v>2</v>
      </c>
      <c r="F870">
        <v>10</v>
      </c>
      <c r="G870" s="7">
        <v>4</v>
      </c>
      <c r="H870">
        <v>1</v>
      </c>
      <c r="I870" t="s">
        <v>1320</v>
      </c>
      <c r="J870">
        <v>1</v>
      </c>
    </row>
    <row r="871" spans="1:10" x14ac:dyDescent="0.25">
      <c r="D871" s="72">
        <f>PRODUCTOS[[#This Row],[V/U VENTA]]*PRODUCTOS[[#This Row],[CANTIDAD]]</f>
        <v>0</v>
      </c>
    </row>
    <row r="872" spans="1:10" x14ac:dyDescent="0.25">
      <c r="D872" s="72">
        <f>PRODUCTOS[[#This Row],[V/U VENTA]]*PRODUCTOS[[#This Row],[CANTIDAD]]</f>
        <v>0</v>
      </c>
    </row>
    <row r="873" spans="1:10" x14ac:dyDescent="0.25">
      <c r="D873" s="72">
        <f>PRODUCTOS[[#This Row],[V/U VENTA]]*PRODUCTOS[[#This Row],[CANTIDAD]]</f>
        <v>0</v>
      </c>
    </row>
    <row r="874" spans="1:10" x14ac:dyDescent="0.25">
      <c r="D874" s="72">
        <f>PRODUCTOS[[#This Row],[V/U VENTA]]*PRODUCTOS[[#This Row],[CANTIDAD]]</f>
        <v>0</v>
      </c>
    </row>
    <row r="875" spans="1:10" x14ac:dyDescent="0.25">
      <c r="D875" s="72">
        <f>PRODUCTOS[[#This Row],[V/U VENTA]]*PRODUCTOS[[#This Row],[CANTIDAD]]</f>
        <v>0</v>
      </c>
    </row>
    <row r="876" spans="1:10" x14ac:dyDescent="0.25">
      <c r="D876" s="72">
        <f>PRODUCTOS[[#This Row],[V/U VENTA]]*PRODUCTOS[[#This Row],[CANTIDAD]]</f>
        <v>0</v>
      </c>
    </row>
    <row r="877" spans="1:10" x14ac:dyDescent="0.25">
      <c r="D877" s="72">
        <f>PRODUCTOS[[#This Row],[V/U VENTA]]*PRODUCTOS[[#This Row],[CANTIDAD]]</f>
        <v>0</v>
      </c>
    </row>
    <row r="878" spans="1:10" x14ac:dyDescent="0.25">
      <c r="D878" s="72">
        <f>PRODUCTOS[[#This Row],[V/U VENTA]]*PRODUCTOS[[#This Row],[CANTIDAD]]</f>
        <v>0</v>
      </c>
    </row>
    <row r="879" spans="1:10" x14ac:dyDescent="0.25">
      <c r="D879" s="72">
        <f>PRODUCTOS[[#This Row],[V/U VENTA]]*PRODUCTOS[[#This Row],[CANTIDAD]]</f>
        <v>0</v>
      </c>
    </row>
    <row r="880" spans="1:10" x14ac:dyDescent="0.25">
      <c r="D880" s="72">
        <f>PRODUCTOS[[#This Row],[V/U VENTA]]*PRODUCTOS[[#This Row],[CANTIDAD]]</f>
        <v>0</v>
      </c>
    </row>
    <row r="881" spans="4:4" x14ac:dyDescent="0.25">
      <c r="D881" s="72">
        <f>PRODUCTOS[[#This Row],[V/U VENTA]]*PRODUCTOS[[#This Row],[CANTIDAD]]</f>
        <v>0</v>
      </c>
    </row>
    <row r="882" spans="4:4" x14ac:dyDescent="0.25">
      <c r="D882" s="72">
        <f>PRODUCTOS[[#This Row],[V/U VENTA]]*PRODUCTOS[[#This Row],[CANTIDAD]]</f>
        <v>0</v>
      </c>
    </row>
    <row r="883" spans="4:4" x14ac:dyDescent="0.25">
      <c r="D883" s="72">
        <f>PRODUCTOS[[#This Row],[V/U VENTA]]*PRODUCTOS[[#This Row],[CANTIDAD]]</f>
        <v>0</v>
      </c>
    </row>
    <row r="884" spans="4:4" x14ac:dyDescent="0.25">
      <c r="D884" s="72">
        <f>PRODUCTOS[[#This Row],[V/U VENTA]]*PRODUCTOS[[#This Row],[CANTIDAD]]</f>
        <v>0</v>
      </c>
    </row>
    <row r="885" spans="4:4" x14ac:dyDescent="0.25">
      <c r="D885" s="72">
        <f>PRODUCTOS[[#This Row],[V/U VENTA]]*PRODUCTOS[[#This Row],[CANTIDAD]]</f>
        <v>0</v>
      </c>
    </row>
    <row r="886" spans="4:4" x14ac:dyDescent="0.25">
      <c r="D886" s="72">
        <f>PRODUCTOS[[#This Row],[V/U VENTA]]*PRODUCTOS[[#This Row],[CANTIDAD]]</f>
        <v>0</v>
      </c>
    </row>
    <row r="887" spans="4:4" x14ac:dyDescent="0.25">
      <c r="D887" s="72">
        <f>PRODUCTOS[[#This Row],[V/U VENTA]]*PRODUCTOS[[#This Row],[CANTIDAD]]</f>
        <v>0</v>
      </c>
    </row>
    <row r="888" spans="4:4" x14ac:dyDescent="0.25">
      <c r="D888" s="72">
        <f>PRODUCTOS[[#This Row],[V/U VENTA]]*PRODUCTOS[[#This Row],[CANTIDAD]]</f>
        <v>0</v>
      </c>
    </row>
    <row r="889" spans="4:4" x14ac:dyDescent="0.25">
      <c r="D889" s="72">
        <f>PRODUCTOS[[#This Row],[V/U VENTA]]*PRODUCTOS[[#This Row],[CANTIDAD]]</f>
        <v>0</v>
      </c>
    </row>
    <row r="890" spans="4:4" x14ac:dyDescent="0.25">
      <c r="D890" s="72">
        <f>PRODUCTOS[[#This Row],[V/U VENTA]]*PRODUCTOS[[#This Row],[CANTIDAD]]</f>
        <v>0</v>
      </c>
    </row>
    <row r="891" spans="4:4" x14ac:dyDescent="0.25">
      <c r="D891" s="72">
        <f>PRODUCTOS[[#This Row],[V/U VENTA]]*PRODUCTOS[[#This Row],[CANTIDAD]]</f>
        <v>0</v>
      </c>
    </row>
    <row r="892" spans="4:4" x14ac:dyDescent="0.25">
      <c r="D892" s="72">
        <f>PRODUCTOS[[#This Row],[V/U VENTA]]*PRODUCTOS[[#This Row],[CANTIDAD]]</f>
        <v>0</v>
      </c>
    </row>
    <row r="893" spans="4:4" x14ac:dyDescent="0.25">
      <c r="D893" s="72">
        <f>PRODUCTOS[[#This Row],[V/U VENTA]]*PRODUCTOS[[#This Row],[CANTIDAD]]</f>
        <v>0</v>
      </c>
    </row>
    <row r="894" spans="4:4" x14ac:dyDescent="0.25">
      <c r="D894" s="72">
        <f>PRODUCTOS[[#This Row],[V/U VENTA]]*PRODUCTOS[[#This Row],[CANTIDAD]]</f>
        <v>0</v>
      </c>
    </row>
    <row r="895" spans="4:4" x14ac:dyDescent="0.25">
      <c r="D895" s="72">
        <f>PRODUCTOS[[#This Row],[V/U VENTA]]*PRODUCTOS[[#This Row],[CANTIDAD]]</f>
        <v>0</v>
      </c>
    </row>
    <row r="896" spans="4:4" x14ac:dyDescent="0.25">
      <c r="D896" s="72">
        <f>PRODUCTOS[[#This Row],[V/U VENTA]]*PRODUCTOS[[#This Row],[CANTIDAD]]</f>
        <v>0</v>
      </c>
    </row>
    <row r="897" spans="4:4" x14ac:dyDescent="0.25">
      <c r="D897" s="72">
        <f>PRODUCTOS[[#This Row],[V/U VENTA]]*PRODUCTOS[[#This Row],[CANTIDAD]]</f>
        <v>0</v>
      </c>
    </row>
    <row r="898" spans="4:4" x14ac:dyDescent="0.25">
      <c r="D898" s="72">
        <f>PRODUCTOS[[#This Row],[V/U VENTA]]*PRODUCTOS[[#This Row],[CANTIDAD]]</f>
        <v>0</v>
      </c>
    </row>
    <row r="899" spans="4:4" x14ac:dyDescent="0.25">
      <c r="D899" s="72">
        <f>PRODUCTOS[[#This Row],[V/U VENTA]]*PRODUCTOS[[#This Row],[CANTIDAD]]</f>
        <v>0</v>
      </c>
    </row>
    <row r="900" spans="4:4" x14ac:dyDescent="0.25">
      <c r="D900" s="72">
        <f>PRODUCTOS[[#This Row],[V/U VENTA]]*PRODUCTOS[[#This Row],[CANTIDAD]]</f>
        <v>0</v>
      </c>
    </row>
    <row r="901" spans="4:4" x14ac:dyDescent="0.25">
      <c r="D901" s="72">
        <f>PRODUCTOS[[#This Row],[V/U VENTA]]*PRODUCTOS[[#This Row],[CANTIDAD]]</f>
        <v>0</v>
      </c>
    </row>
    <row r="902" spans="4:4" x14ac:dyDescent="0.25">
      <c r="D902" s="72">
        <f>PRODUCTOS[[#This Row],[V/U VENTA]]*PRODUCTOS[[#This Row],[CANTIDAD]]</f>
        <v>0</v>
      </c>
    </row>
    <row r="903" spans="4:4" x14ac:dyDescent="0.25">
      <c r="D903" s="72">
        <f>PRODUCTOS[[#This Row],[V/U VENTA]]*PRODUCTOS[[#This Row],[CANTIDAD]]</f>
        <v>0</v>
      </c>
    </row>
    <row r="904" spans="4:4" x14ac:dyDescent="0.25">
      <c r="D904" s="72">
        <f>PRODUCTOS[[#This Row],[V/U VENTA]]*PRODUCTOS[[#This Row],[CANTIDAD]]</f>
        <v>0</v>
      </c>
    </row>
    <row r="905" spans="4:4" x14ac:dyDescent="0.25">
      <c r="D905" s="72">
        <f>PRODUCTOS[[#This Row],[V/U VENTA]]*PRODUCTOS[[#This Row],[CANTIDAD]]</f>
        <v>0</v>
      </c>
    </row>
    <row r="906" spans="4:4" x14ac:dyDescent="0.25">
      <c r="D906" s="15">
        <f>PRODUCTOS[[#This Row],[V/U VENTA]]*PRODUCTOS[[#This Row],[CANTIDAD]]</f>
        <v>0</v>
      </c>
    </row>
    <row r="907" spans="4:4" x14ac:dyDescent="0.25">
      <c r="D907" s="15">
        <f>PRODUCTOS[[#This Row],[V/U VENTA]]*PRODUCTOS[[#This Row],[CANTIDAD]]</f>
        <v>0</v>
      </c>
    </row>
    <row r="908" spans="4:4" x14ac:dyDescent="0.25">
      <c r="D908" s="15">
        <f>PRODUCTOS[[#This Row],[V/U VENTA]]*PRODUCTOS[[#This Row],[CANTIDAD]]</f>
        <v>0</v>
      </c>
    </row>
    <row r="909" spans="4:4" x14ac:dyDescent="0.25">
      <c r="D909" s="15">
        <f>PRODUCTOS[[#This Row],[V/U VENTA]]*PRODUCTOS[[#This Row],[CANTIDAD]]</f>
        <v>0</v>
      </c>
    </row>
    <row r="910" spans="4:4" x14ac:dyDescent="0.25">
      <c r="D910" s="15">
        <f>PRODUCTOS[[#This Row],[V/U VENTA]]*PRODUCTOS[[#This Row],[CANTIDAD]]</f>
        <v>0</v>
      </c>
    </row>
    <row r="911" spans="4:4" x14ac:dyDescent="0.25">
      <c r="D911" s="15">
        <f>PRODUCTOS[[#This Row],[V/U VENTA]]*PRODUCTOS[[#This Row],[CANTIDAD]]</f>
        <v>0</v>
      </c>
    </row>
    <row r="912" spans="4:4" x14ac:dyDescent="0.25">
      <c r="D912" s="15">
        <f>PRODUCTOS[[#This Row],[V/U VENTA]]*PRODUCTOS[[#This Row],[CANTIDAD]]</f>
        <v>0</v>
      </c>
    </row>
    <row r="913" spans="4:4" x14ac:dyDescent="0.25">
      <c r="D913" s="15">
        <f>PRODUCTOS[[#This Row],[V/U VENTA]]*PRODUCTOS[[#This Row],[CANTIDAD]]</f>
        <v>0</v>
      </c>
    </row>
    <row r="914" spans="4:4" x14ac:dyDescent="0.25">
      <c r="D914" s="15">
        <f>PRODUCTOS[[#This Row],[V/U VENTA]]*PRODUCTOS[[#This Row],[CANTIDAD]]</f>
        <v>0</v>
      </c>
    </row>
    <row r="915" spans="4:4" x14ac:dyDescent="0.25">
      <c r="D915" s="15">
        <f>PRODUCTOS[[#This Row],[V/U VENTA]]*PRODUCTOS[[#This Row],[CANTIDAD]]</f>
        <v>0</v>
      </c>
    </row>
    <row r="916" spans="4:4" x14ac:dyDescent="0.25">
      <c r="D916" s="15">
        <f>PRODUCTOS[[#This Row],[V/U VENTA]]*PRODUCTOS[[#This Row],[CANTIDAD]]</f>
        <v>0</v>
      </c>
    </row>
    <row r="917" spans="4:4" x14ac:dyDescent="0.25">
      <c r="D917" s="15">
        <f>PRODUCTOS[[#This Row],[V/U VENTA]]*PRODUCTOS[[#This Row],[CANTIDAD]]</f>
        <v>0</v>
      </c>
    </row>
    <row r="918" spans="4:4" x14ac:dyDescent="0.25">
      <c r="D918" s="15">
        <f>PRODUCTOS[[#This Row],[V/U VENTA]]*PRODUCTOS[[#This Row],[CANTIDAD]]</f>
        <v>0</v>
      </c>
    </row>
    <row r="919" spans="4:4" x14ac:dyDescent="0.25">
      <c r="D919" s="15">
        <f>PRODUCTOS[[#This Row],[V/U VENTA]]*PRODUCTOS[[#This Row],[CANTIDAD]]</f>
        <v>0</v>
      </c>
    </row>
    <row r="920" spans="4:4" x14ac:dyDescent="0.25">
      <c r="D920" s="15">
        <f>PRODUCTOS[[#This Row],[V/U VENTA]]*PRODUCTOS[[#This Row],[CANTIDAD]]</f>
        <v>0</v>
      </c>
    </row>
    <row r="921" spans="4:4" x14ac:dyDescent="0.25">
      <c r="D921" s="15">
        <f>PRODUCTOS[[#This Row],[V/U VENTA]]*PRODUCTOS[[#This Row],[CANTIDAD]]</f>
        <v>0</v>
      </c>
    </row>
    <row r="922" spans="4:4" x14ac:dyDescent="0.25">
      <c r="D922" s="15">
        <f>PRODUCTOS[[#This Row],[V/U VENTA]]*PRODUCTOS[[#This Row],[CANTIDAD]]</f>
        <v>0</v>
      </c>
    </row>
    <row r="923" spans="4:4" x14ac:dyDescent="0.25">
      <c r="D923" s="15">
        <f>PRODUCTOS[[#This Row],[V/U VENTA]]*PRODUCTOS[[#This Row],[CANTIDAD]]</f>
        <v>0</v>
      </c>
    </row>
    <row r="924" spans="4:4" x14ac:dyDescent="0.25">
      <c r="D924" s="15">
        <f>PRODUCTOS[[#This Row],[V/U VENTA]]*PRODUCTOS[[#This Row],[CANTIDAD]]</f>
        <v>0</v>
      </c>
    </row>
    <row r="925" spans="4:4" x14ac:dyDescent="0.25">
      <c r="D925" s="15">
        <f>PRODUCTOS[[#This Row],[V/U VENTA]]*PRODUCTOS[[#This Row],[CANTIDAD]]</f>
        <v>0</v>
      </c>
    </row>
    <row r="926" spans="4:4" x14ac:dyDescent="0.25">
      <c r="D926" s="15">
        <f>PRODUCTOS[[#This Row],[V/U VENTA]]*PRODUCTOS[[#This Row],[CANTIDAD]]</f>
        <v>0</v>
      </c>
    </row>
    <row r="927" spans="4:4" x14ac:dyDescent="0.25">
      <c r="D927" s="15">
        <f>PRODUCTOS[[#This Row],[V/U VENTA]]*PRODUCTOS[[#This Row],[CANTIDAD]]</f>
        <v>0</v>
      </c>
    </row>
    <row r="928" spans="4:4" x14ac:dyDescent="0.25">
      <c r="D928" s="15">
        <f>PRODUCTOS[[#This Row],[V/U VENTA]]*PRODUCTOS[[#This Row],[CANTIDAD]]</f>
        <v>0</v>
      </c>
    </row>
    <row r="929" spans="4:4" x14ac:dyDescent="0.25">
      <c r="D929" s="15">
        <f>PRODUCTOS[[#This Row],[V/U VENTA]]*PRODUCTOS[[#This Row],[CANTIDAD]]</f>
        <v>0</v>
      </c>
    </row>
    <row r="930" spans="4:4" x14ac:dyDescent="0.25">
      <c r="D930" s="15">
        <f>PRODUCTOS[[#This Row],[V/U VENTA]]*PRODUCTOS[[#This Row],[CANTIDAD]]</f>
        <v>0</v>
      </c>
    </row>
    <row r="931" spans="4:4" x14ac:dyDescent="0.25">
      <c r="D931" s="15">
        <f>PRODUCTOS[[#This Row],[V/U VENTA]]*PRODUCTOS[[#This Row],[CANTIDAD]]</f>
        <v>0</v>
      </c>
    </row>
    <row r="932" spans="4:4" x14ac:dyDescent="0.25">
      <c r="D932" s="15">
        <f>PRODUCTOS[[#This Row],[V/U VENTA]]*PRODUCTOS[[#This Row],[CANTIDAD]]</f>
        <v>0</v>
      </c>
    </row>
    <row r="933" spans="4:4" x14ac:dyDescent="0.25">
      <c r="D933" s="15">
        <f>PRODUCTOS[[#This Row],[V/U VENTA]]*PRODUCTOS[[#This Row],[CANTIDAD]]</f>
        <v>0</v>
      </c>
    </row>
    <row r="934" spans="4:4" x14ac:dyDescent="0.25">
      <c r="D934" s="15">
        <f>PRODUCTOS[[#This Row],[V/U VENTA]]*PRODUCTOS[[#This Row],[CANTIDAD]]</f>
        <v>0</v>
      </c>
    </row>
    <row r="935" spans="4:4" x14ac:dyDescent="0.25">
      <c r="D935" s="15">
        <f>PRODUCTOS[[#This Row],[V/U VENTA]]*PRODUCTOS[[#This Row],[CANTIDAD]]</f>
        <v>0</v>
      </c>
    </row>
    <row r="936" spans="4:4" x14ac:dyDescent="0.25">
      <c r="D936" s="15">
        <f>PRODUCTOS[[#This Row],[V/U VENTA]]*PRODUCTOS[[#This Row],[CANTIDAD]]</f>
        <v>0</v>
      </c>
    </row>
    <row r="937" spans="4:4" x14ac:dyDescent="0.25">
      <c r="D937" s="15">
        <f>PRODUCTOS[[#This Row],[V/U VENTA]]*PRODUCTOS[[#This Row],[CANTIDAD]]</f>
        <v>0</v>
      </c>
    </row>
    <row r="938" spans="4:4" x14ac:dyDescent="0.25">
      <c r="D938" s="15">
        <f>PRODUCTOS[[#This Row],[V/U VENTA]]*PRODUCTOS[[#This Row],[CANTIDAD]]</f>
        <v>0</v>
      </c>
    </row>
    <row r="939" spans="4:4" x14ac:dyDescent="0.25">
      <c r="D939" s="15">
        <f>PRODUCTOS[[#This Row],[V/U VENTA]]*PRODUCTOS[[#This Row],[CANTIDAD]]</f>
        <v>0</v>
      </c>
    </row>
    <row r="940" spans="4:4" x14ac:dyDescent="0.25">
      <c r="D940" s="15">
        <f>PRODUCTOS[[#This Row],[V/U VENTA]]*PRODUCTOS[[#This Row],[CANTIDAD]]</f>
        <v>0</v>
      </c>
    </row>
    <row r="941" spans="4:4" x14ac:dyDescent="0.25">
      <c r="D941" s="15">
        <f>PRODUCTOS[[#This Row],[V/U VENTA]]*PRODUCTOS[[#This Row],[CANTIDAD]]</f>
        <v>0</v>
      </c>
    </row>
    <row r="942" spans="4:4" x14ac:dyDescent="0.25">
      <c r="D942" s="15">
        <f>PRODUCTOS[[#This Row],[V/U VENTA]]*PRODUCTOS[[#This Row],[CANTIDAD]]</f>
        <v>0</v>
      </c>
    </row>
    <row r="943" spans="4:4" x14ac:dyDescent="0.25">
      <c r="D943" s="15">
        <f>PRODUCTOS[[#This Row],[V/U VENTA]]*PRODUCTOS[[#This Row],[CANTIDAD]]</f>
        <v>0</v>
      </c>
    </row>
    <row r="944" spans="4:4" x14ac:dyDescent="0.25">
      <c r="D944" s="15">
        <f>PRODUCTOS[[#This Row],[V/U VENTA]]*PRODUCTOS[[#This Row],[CANTIDAD]]</f>
        <v>0</v>
      </c>
    </row>
    <row r="945" spans="4:4" x14ac:dyDescent="0.25">
      <c r="D945" s="15">
        <f>PRODUCTOS[[#This Row],[V/U VENTA]]*PRODUCTOS[[#This Row],[CANTIDAD]]</f>
        <v>0</v>
      </c>
    </row>
    <row r="946" spans="4:4" x14ac:dyDescent="0.25">
      <c r="D946" s="15">
        <f>PRODUCTOS[[#This Row],[V/U VENTA]]*PRODUCTOS[[#This Row],[CANTIDAD]]</f>
        <v>0</v>
      </c>
    </row>
    <row r="947" spans="4:4" x14ac:dyDescent="0.25">
      <c r="D947" s="15">
        <f>PRODUCTOS[[#This Row],[V/U VENTA]]*PRODUCTOS[[#This Row],[CANTIDAD]]</f>
        <v>0</v>
      </c>
    </row>
    <row r="948" spans="4:4" x14ac:dyDescent="0.25">
      <c r="D948" s="15">
        <f>PRODUCTOS[[#This Row],[V/U VENTA]]*PRODUCTOS[[#This Row],[CANTIDAD]]</f>
        <v>0</v>
      </c>
    </row>
    <row r="949" spans="4:4" x14ac:dyDescent="0.25">
      <c r="D949" s="15">
        <f>PRODUCTOS[[#This Row],[V/U VENTA]]*PRODUCTOS[[#This Row],[CANTIDAD]]</f>
        <v>0</v>
      </c>
    </row>
    <row r="950" spans="4:4" x14ac:dyDescent="0.25">
      <c r="D950" s="15">
        <f>PRODUCTOS[[#This Row],[V/U VENTA]]*PRODUCTOS[[#This Row],[CANTIDAD]]</f>
        <v>0</v>
      </c>
    </row>
    <row r="951" spans="4:4" x14ac:dyDescent="0.25">
      <c r="D951" s="15">
        <f>PRODUCTOS[[#This Row],[V/U VENTA]]*PRODUCTOS[[#This Row],[CANTIDAD]]</f>
        <v>0</v>
      </c>
    </row>
    <row r="952" spans="4:4" x14ac:dyDescent="0.25">
      <c r="D952" s="15">
        <f>PRODUCTOS[[#This Row],[V/U VENTA]]*PRODUCTOS[[#This Row],[CANTIDAD]]</f>
        <v>0</v>
      </c>
    </row>
    <row r="953" spans="4:4" x14ac:dyDescent="0.25">
      <c r="D953" s="15">
        <f>PRODUCTOS[[#This Row],[V/U VENTA]]*PRODUCTOS[[#This Row],[CANTIDAD]]</f>
        <v>0</v>
      </c>
    </row>
    <row r="954" spans="4:4" x14ac:dyDescent="0.25">
      <c r="D954" s="15">
        <f>PRODUCTOS[[#This Row],[V/U VENTA]]*PRODUCTOS[[#This Row],[CANTIDAD]]</f>
        <v>0</v>
      </c>
    </row>
    <row r="955" spans="4:4" x14ac:dyDescent="0.25">
      <c r="D955" s="15">
        <f>PRODUCTOS[[#This Row],[V/U VENTA]]*PRODUCTOS[[#This Row],[CANTIDAD]]</f>
        <v>0</v>
      </c>
    </row>
    <row r="956" spans="4:4" x14ac:dyDescent="0.25">
      <c r="D956" s="15">
        <f>PRODUCTOS[[#This Row],[V/U VENTA]]*PRODUCTOS[[#This Row],[CANTIDAD]]</f>
        <v>0</v>
      </c>
    </row>
    <row r="957" spans="4:4" x14ac:dyDescent="0.25">
      <c r="D957" s="15">
        <f>PRODUCTOS[[#This Row],[V/U VENTA]]*PRODUCTOS[[#This Row],[CANTIDAD]]</f>
        <v>0</v>
      </c>
    </row>
    <row r="958" spans="4:4" x14ac:dyDescent="0.25">
      <c r="D958" s="15">
        <f>PRODUCTOS[[#This Row],[V/U VENTA]]*PRODUCTOS[[#This Row],[CANTIDAD]]</f>
        <v>0</v>
      </c>
    </row>
    <row r="959" spans="4:4" x14ac:dyDescent="0.25">
      <c r="D959" s="15">
        <f>PRODUCTOS[[#This Row],[V/U VENTA]]*PRODUCTOS[[#This Row],[CANTIDAD]]</f>
        <v>0</v>
      </c>
    </row>
    <row r="960" spans="4:4" x14ac:dyDescent="0.25">
      <c r="D960" s="15">
        <f>PRODUCTOS[[#This Row],[V/U VENTA]]*PRODUCTOS[[#This Row],[CANTIDAD]]</f>
        <v>0</v>
      </c>
    </row>
    <row r="961" spans="4:4" x14ac:dyDescent="0.25">
      <c r="D961" s="15">
        <f>PRODUCTOS[[#This Row],[V/U VENTA]]*PRODUCTOS[[#This Row],[CANTIDAD]]</f>
        <v>0</v>
      </c>
    </row>
    <row r="962" spans="4:4" x14ac:dyDescent="0.25">
      <c r="D962" s="15">
        <f>PRODUCTOS[[#This Row],[V/U VENTA]]*PRODUCTOS[[#This Row],[CANTIDAD]]</f>
        <v>0</v>
      </c>
    </row>
    <row r="963" spans="4:4" x14ac:dyDescent="0.25">
      <c r="D963" s="15">
        <f>PRODUCTOS[[#This Row],[V/U VENTA]]*PRODUCTOS[[#This Row],[CANTIDAD]]</f>
        <v>0</v>
      </c>
    </row>
    <row r="964" spans="4:4" x14ac:dyDescent="0.25">
      <c r="D964" s="15">
        <f>PRODUCTOS[[#This Row],[V/U VENTA]]*PRODUCTOS[[#This Row],[CANTIDAD]]</f>
        <v>0</v>
      </c>
    </row>
    <row r="965" spans="4:4" x14ac:dyDescent="0.25">
      <c r="D965" s="15">
        <f>PRODUCTOS[[#This Row],[V/U VENTA]]*PRODUCTOS[[#This Row],[CANTIDAD]]</f>
        <v>0</v>
      </c>
    </row>
    <row r="966" spans="4:4" x14ac:dyDescent="0.25">
      <c r="D966" s="15">
        <f>PRODUCTOS[[#This Row],[V/U VENTA]]*PRODUCTOS[[#This Row],[CANTIDAD]]</f>
        <v>0</v>
      </c>
    </row>
    <row r="967" spans="4:4" x14ac:dyDescent="0.25">
      <c r="D967" s="15">
        <f>PRODUCTOS[[#This Row],[V/U VENTA]]*PRODUCTOS[[#This Row],[CANTIDAD]]</f>
        <v>0</v>
      </c>
    </row>
    <row r="968" spans="4:4" x14ac:dyDescent="0.25">
      <c r="D968" s="15">
        <f>PRODUCTOS[[#This Row],[V/U VENTA]]*PRODUCTOS[[#This Row],[CANTIDAD]]</f>
        <v>0</v>
      </c>
    </row>
    <row r="969" spans="4:4" x14ac:dyDescent="0.25">
      <c r="D969" s="15">
        <f>PRODUCTOS[[#This Row],[V/U VENTA]]*PRODUCTOS[[#This Row],[CANTIDAD]]</f>
        <v>0</v>
      </c>
    </row>
    <row r="970" spans="4:4" x14ac:dyDescent="0.25">
      <c r="D970" s="15">
        <f>PRODUCTOS[[#This Row],[V/U VENTA]]*PRODUCTOS[[#This Row],[CANTIDAD]]</f>
        <v>0</v>
      </c>
    </row>
    <row r="971" spans="4:4" x14ac:dyDescent="0.25">
      <c r="D971" s="15">
        <f>PRODUCTOS[[#This Row],[V/U VENTA]]*PRODUCTOS[[#This Row],[CANTIDAD]]</f>
        <v>0</v>
      </c>
    </row>
    <row r="972" spans="4:4" x14ac:dyDescent="0.25">
      <c r="D972" s="15">
        <f>PRODUCTOS[[#This Row],[V/U VENTA]]*PRODUCTOS[[#This Row],[CANTIDAD]]</f>
        <v>0</v>
      </c>
    </row>
    <row r="973" spans="4:4" x14ac:dyDescent="0.25">
      <c r="D973" s="15">
        <f>PRODUCTOS[[#This Row],[V/U VENTA]]*PRODUCTOS[[#This Row],[CANTIDAD]]</f>
        <v>0</v>
      </c>
    </row>
    <row r="974" spans="4:4" x14ac:dyDescent="0.25">
      <c r="D974" s="15">
        <f>PRODUCTOS[[#This Row],[V/U VENTA]]*PRODUCTOS[[#This Row],[CANTIDAD]]</f>
        <v>0</v>
      </c>
    </row>
    <row r="975" spans="4:4" x14ac:dyDescent="0.25">
      <c r="D975" s="15">
        <f>PRODUCTOS[[#This Row],[V/U VENTA]]*PRODUCTOS[[#This Row],[CANTIDAD]]</f>
        <v>0</v>
      </c>
    </row>
    <row r="976" spans="4:4" x14ac:dyDescent="0.25">
      <c r="D976" s="15">
        <f>PRODUCTOS[[#This Row],[V/U VENTA]]*PRODUCTOS[[#This Row],[CANTIDAD]]</f>
        <v>0</v>
      </c>
    </row>
    <row r="977" spans="4:4" x14ac:dyDescent="0.25">
      <c r="D977" s="15">
        <f>PRODUCTOS[[#This Row],[V/U VENTA]]*PRODUCTOS[[#This Row],[CANTIDAD]]</f>
        <v>0</v>
      </c>
    </row>
    <row r="978" spans="4:4" x14ac:dyDescent="0.25">
      <c r="D978" s="15">
        <f>PRODUCTOS[[#This Row],[V/U VENTA]]*PRODUCTOS[[#This Row],[CANTIDAD]]</f>
        <v>0</v>
      </c>
    </row>
    <row r="979" spans="4:4" x14ac:dyDescent="0.25">
      <c r="D979" s="15">
        <f>PRODUCTOS[[#This Row],[V/U VENTA]]*PRODUCTOS[[#This Row],[CANTIDAD]]</f>
        <v>0</v>
      </c>
    </row>
    <row r="980" spans="4:4" x14ac:dyDescent="0.25">
      <c r="D980" s="15">
        <f>PRODUCTOS[[#This Row],[V/U VENTA]]*PRODUCTOS[[#This Row],[CANTIDAD]]</f>
        <v>0</v>
      </c>
    </row>
    <row r="981" spans="4:4" x14ac:dyDescent="0.25">
      <c r="D981" s="15">
        <f>PRODUCTOS[[#This Row],[V/U VENTA]]*PRODUCTOS[[#This Row],[CANTIDAD]]</f>
        <v>0</v>
      </c>
    </row>
    <row r="982" spans="4:4" x14ac:dyDescent="0.25">
      <c r="D982" s="15">
        <f>PRODUCTOS[[#This Row],[V/U VENTA]]*PRODUCTOS[[#This Row],[CANTIDAD]]</f>
        <v>0</v>
      </c>
    </row>
    <row r="983" spans="4:4" x14ac:dyDescent="0.25">
      <c r="D983" s="15">
        <f>PRODUCTOS[[#This Row],[V/U VENTA]]*PRODUCTOS[[#This Row],[CANTIDAD]]</f>
        <v>0</v>
      </c>
    </row>
    <row r="984" spans="4:4" x14ac:dyDescent="0.25">
      <c r="D984" s="15">
        <f>PRODUCTOS[[#This Row],[V/U VENTA]]*PRODUCTOS[[#This Row],[CANTIDAD]]</f>
        <v>0</v>
      </c>
    </row>
    <row r="985" spans="4:4" x14ac:dyDescent="0.25">
      <c r="D985" s="15">
        <f>PRODUCTOS[[#This Row],[V/U VENTA]]*PRODUCTOS[[#This Row],[CANTIDAD]]</f>
        <v>0</v>
      </c>
    </row>
    <row r="986" spans="4:4" x14ac:dyDescent="0.25">
      <c r="D986" s="15">
        <f>PRODUCTOS[[#This Row],[V/U VENTA]]*PRODUCTOS[[#This Row],[CANTIDAD]]</f>
        <v>0</v>
      </c>
    </row>
    <row r="987" spans="4:4" x14ac:dyDescent="0.25">
      <c r="D987" s="15">
        <f>PRODUCTOS[[#This Row],[V/U VENTA]]*PRODUCTOS[[#This Row],[CANTIDAD]]</f>
        <v>0</v>
      </c>
    </row>
    <row r="988" spans="4:4" x14ac:dyDescent="0.25">
      <c r="D988" s="15">
        <f>PRODUCTOS[[#This Row],[V/U VENTA]]*PRODUCTOS[[#This Row],[CANTIDAD]]</f>
        <v>0</v>
      </c>
    </row>
    <row r="989" spans="4:4" x14ac:dyDescent="0.25">
      <c r="D989" s="15">
        <f>PRODUCTOS[[#This Row],[V/U VENTA]]*PRODUCTOS[[#This Row],[CANTIDAD]]</f>
        <v>0</v>
      </c>
    </row>
    <row r="990" spans="4:4" x14ac:dyDescent="0.25">
      <c r="D990" s="15">
        <f>PRODUCTOS[[#This Row],[V/U VENTA]]*PRODUCTOS[[#This Row],[CANTIDAD]]</f>
        <v>0</v>
      </c>
    </row>
    <row r="991" spans="4:4" x14ac:dyDescent="0.25">
      <c r="D991" s="15">
        <f>PRODUCTOS[[#This Row],[V/U VENTA]]*PRODUCTOS[[#This Row],[CANTIDAD]]</f>
        <v>0</v>
      </c>
    </row>
    <row r="992" spans="4:4" x14ac:dyDescent="0.25">
      <c r="D992" s="15">
        <f>PRODUCTOS[[#This Row],[V/U VENTA]]*PRODUCTOS[[#This Row],[CANTIDAD]]</f>
        <v>0</v>
      </c>
    </row>
    <row r="993" spans="4:4" x14ac:dyDescent="0.25">
      <c r="D993" s="15">
        <f>PRODUCTOS[[#This Row],[V/U VENTA]]*PRODUCTOS[[#This Row],[CANTIDAD]]</f>
        <v>0</v>
      </c>
    </row>
    <row r="994" spans="4:4" x14ac:dyDescent="0.25">
      <c r="D994" s="15">
        <f>PRODUCTOS[[#This Row],[V/U VENTA]]*PRODUCTOS[[#This Row],[CANTIDAD]]</f>
        <v>0</v>
      </c>
    </row>
    <row r="995" spans="4:4" x14ac:dyDescent="0.25">
      <c r="D995" s="15">
        <f>PRODUCTOS[[#This Row],[V/U VENTA]]*PRODUCTOS[[#This Row],[CANTIDAD]]</f>
        <v>0</v>
      </c>
    </row>
    <row r="996" spans="4:4" x14ac:dyDescent="0.25">
      <c r="D996" s="15">
        <f>PRODUCTOS[[#This Row],[V/U VENTA]]*PRODUCTOS[[#This Row],[CANTIDAD]]</f>
        <v>0</v>
      </c>
    </row>
    <row r="997" spans="4:4" x14ac:dyDescent="0.25">
      <c r="D997" s="15">
        <f>PRODUCTOS[[#This Row],[V/U VENTA]]*PRODUCTOS[[#This Row],[CANTIDAD]]</f>
        <v>0</v>
      </c>
    </row>
    <row r="998" spans="4:4" x14ac:dyDescent="0.25">
      <c r="D998" s="15">
        <f>PRODUCTOS[[#This Row],[V/U VENTA]]*PRODUCTOS[[#This Row],[CANTIDAD]]</f>
        <v>0</v>
      </c>
    </row>
    <row r="999" spans="4:4" x14ac:dyDescent="0.25">
      <c r="D999" s="15">
        <f>PRODUCTOS[[#This Row],[V/U VENTA]]*PRODUCTOS[[#This Row],[CANTIDAD]]</f>
        <v>0</v>
      </c>
    </row>
    <row r="1000" spans="4:4" x14ac:dyDescent="0.25">
      <c r="D1000" s="15">
        <f>PRODUCTOS[[#This Row],[V/U VENTA]]*PRODUCTOS[[#This Row],[CANTIDAD]]</f>
        <v>0</v>
      </c>
    </row>
    <row r="1001" spans="4:4" x14ac:dyDescent="0.25">
      <c r="D1001" s="15">
        <f>PRODUCTOS[[#This Row],[V/U VENTA]]*PRODUCTOS[[#This Row],[CANTIDAD]]</f>
        <v>0</v>
      </c>
    </row>
    <row r="1002" spans="4:4" x14ac:dyDescent="0.25">
      <c r="D1002" s="15">
        <f>PRODUCTOS[[#This Row],[V/U VENTA]]*PRODUCTOS[[#This Row],[CANTIDAD]]</f>
        <v>0</v>
      </c>
    </row>
    <row r="1003" spans="4:4" x14ac:dyDescent="0.25">
      <c r="D1003" s="15">
        <f>PRODUCTOS[[#This Row],[V/U VENTA]]*PRODUCTOS[[#This Row],[CANTIDAD]]</f>
        <v>0</v>
      </c>
    </row>
    <row r="1004" spans="4:4" x14ac:dyDescent="0.25">
      <c r="D1004" s="15">
        <f>PRODUCTOS[[#This Row],[V/U VENTA]]*PRODUCTOS[[#This Row],[CANTIDAD]]</f>
        <v>0</v>
      </c>
    </row>
    <row r="1005" spans="4:4" x14ac:dyDescent="0.25">
      <c r="D1005" s="15">
        <f>PRODUCTOS[[#This Row],[V/U VENTA]]*PRODUCTOS[[#This Row],[CANTIDAD]]</f>
        <v>0</v>
      </c>
    </row>
    <row r="1006" spans="4:4" x14ac:dyDescent="0.25">
      <c r="D1006" s="15">
        <f>PRODUCTOS[[#This Row],[V/U VENTA]]*PRODUCTOS[[#This Row],[CANTIDAD]]</f>
        <v>0</v>
      </c>
    </row>
    <row r="1007" spans="4:4" x14ac:dyDescent="0.25">
      <c r="D1007" s="15">
        <f>PRODUCTOS[[#This Row],[V/U VENTA]]*PRODUCTOS[[#This Row],[CANTIDAD]]</f>
        <v>0</v>
      </c>
    </row>
    <row r="1008" spans="4:4" x14ac:dyDescent="0.25">
      <c r="D1008" s="15">
        <f>PRODUCTOS[[#This Row],[V/U VENTA]]*PRODUCTOS[[#This Row],[CANTIDAD]]</f>
        <v>0</v>
      </c>
    </row>
    <row r="1009" spans="4:4" x14ac:dyDescent="0.25">
      <c r="D1009" s="15">
        <f>PRODUCTOS[[#This Row],[V/U VENTA]]*PRODUCTOS[[#This Row],[CANTIDAD]]</f>
        <v>0</v>
      </c>
    </row>
    <row r="1010" spans="4:4" x14ac:dyDescent="0.25">
      <c r="D1010" s="15">
        <f>PRODUCTOS[[#This Row],[V/U VENTA]]*PRODUCTOS[[#This Row],[CANTIDAD]]</f>
        <v>0</v>
      </c>
    </row>
    <row r="1011" spans="4:4" x14ac:dyDescent="0.25">
      <c r="D1011" s="15">
        <f>PRODUCTOS[[#This Row],[V/U VENTA]]*PRODUCTOS[[#This Row],[CANTIDAD]]</f>
        <v>0</v>
      </c>
    </row>
    <row r="1012" spans="4:4" x14ac:dyDescent="0.25">
      <c r="D1012" s="15">
        <f>PRODUCTOS[[#This Row],[V/U VENTA]]*PRODUCTOS[[#This Row],[CANTIDAD]]</f>
        <v>0</v>
      </c>
    </row>
    <row r="1013" spans="4:4" x14ac:dyDescent="0.25">
      <c r="D1013" s="15">
        <f>PRODUCTOS[[#This Row],[V/U VENTA]]*PRODUCTOS[[#This Row],[CANTIDAD]]</f>
        <v>0</v>
      </c>
    </row>
    <row r="1014" spans="4:4" x14ac:dyDescent="0.25">
      <c r="D1014" s="15">
        <f>PRODUCTOS[[#This Row],[V/U VENTA]]*PRODUCTOS[[#This Row],[CANTIDAD]]</f>
        <v>0</v>
      </c>
    </row>
    <row r="1015" spans="4:4" x14ac:dyDescent="0.25">
      <c r="D1015" s="15">
        <f>PRODUCTOS[[#This Row],[V/U VENTA]]*PRODUCTOS[[#This Row],[CANTIDAD]]</f>
        <v>0</v>
      </c>
    </row>
    <row r="1016" spans="4:4" x14ac:dyDescent="0.25">
      <c r="D1016" s="15">
        <f>PRODUCTOS[[#This Row],[V/U VENTA]]*PRODUCTOS[[#This Row],[CANTIDAD]]</f>
        <v>0</v>
      </c>
    </row>
    <row r="1017" spans="4:4" x14ac:dyDescent="0.25">
      <c r="D1017" s="15">
        <f>PRODUCTOS[[#This Row],[V/U VENTA]]*PRODUCTOS[[#This Row],[CANTIDAD]]</f>
        <v>0</v>
      </c>
    </row>
    <row r="1018" spans="4:4" x14ac:dyDescent="0.25">
      <c r="D1018" s="15">
        <f>PRODUCTOS[[#This Row],[V/U VENTA]]*PRODUCTOS[[#This Row],[CANTIDAD]]</f>
        <v>0</v>
      </c>
    </row>
    <row r="1019" spans="4:4" x14ac:dyDescent="0.25">
      <c r="D1019" s="15">
        <f>PRODUCTOS[[#This Row],[V/U VENTA]]*PRODUCTOS[[#This Row],[CANTIDAD]]</f>
        <v>0</v>
      </c>
    </row>
    <row r="1020" spans="4:4" x14ac:dyDescent="0.25">
      <c r="D1020" s="15">
        <f>PRODUCTOS[[#This Row],[V/U VENTA]]*PRODUCTOS[[#This Row],[CANTIDAD]]</f>
        <v>0</v>
      </c>
    </row>
    <row r="1021" spans="4:4" x14ac:dyDescent="0.25">
      <c r="D1021" s="15">
        <f>PRODUCTOS[[#This Row],[V/U VENTA]]*PRODUCTOS[[#This Row],[CANTIDAD]]</f>
        <v>0</v>
      </c>
    </row>
    <row r="1022" spans="4:4" x14ac:dyDescent="0.25">
      <c r="D1022" s="15">
        <f>PRODUCTOS[[#This Row],[V/U VENTA]]*PRODUCTOS[[#This Row],[CANTIDAD]]</f>
        <v>0</v>
      </c>
    </row>
    <row r="1023" spans="4:4" x14ac:dyDescent="0.25">
      <c r="D1023" s="15">
        <f>PRODUCTOS[[#This Row],[V/U VENTA]]*PRODUCTOS[[#This Row],[CANTIDAD]]</f>
        <v>0</v>
      </c>
    </row>
    <row r="1024" spans="4:4" x14ac:dyDescent="0.25">
      <c r="D1024" s="15">
        <f>PRODUCTOS[[#This Row],[V/U VENTA]]*PRODUCTOS[[#This Row],[CANTIDAD]]</f>
        <v>0</v>
      </c>
    </row>
    <row r="1025" spans="4:4" x14ac:dyDescent="0.25">
      <c r="D1025" s="15">
        <f>PRODUCTOS[[#This Row],[V/U VENTA]]*PRODUCTOS[[#This Row],[CANTIDAD]]</f>
        <v>0</v>
      </c>
    </row>
    <row r="1026" spans="4:4" x14ac:dyDescent="0.25">
      <c r="D1026" s="15">
        <f>PRODUCTOS[[#This Row],[V/U VENTA]]*PRODUCTOS[[#This Row],[CANTIDAD]]</f>
        <v>0</v>
      </c>
    </row>
    <row r="1027" spans="4:4" x14ac:dyDescent="0.25">
      <c r="D1027" s="15">
        <f>PRODUCTOS[[#This Row],[V/U VENTA]]*PRODUCTOS[[#This Row],[CANTIDAD]]</f>
        <v>0</v>
      </c>
    </row>
    <row r="1028" spans="4:4" x14ac:dyDescent="0.25">
      <c r="D1028" s="15">
        <f>PRODUCTOS[[#This Row],[V/U VENTA]]*PRODUCTOS[[#This Row],[CANTIDAD]]</f>
        <v>0</v>
      </c>
    </row>
    <row r="1029" spans="4:4" x14ac:dyDescent="0.25">
      <c r="D1029" s="15">
        <f>PRODUCTOS[[#This Row],[V/U VENTA]]*PRODUCTOS[[#This Row],[CANTIDAD]]</f>
        <v>0</v>
      </c>
    </row>
    <row r="1030" spans="4:4" x14ac:dyDescent="0.25">
      <c r="D1030" s="15">
        <f>PRODUCTOS[[#This Row],[V/U VENTA]]*PRODUCTOS[[#This Row],[CANTIDAD]]</f>
        <v>0</v>
      </c>
    </row>
    <row r="1031" spans="4:4" x14ac:dyDescent="0.25">
      <c r="D1031" s="15">
        <f>PRODUCTOS[[#This Row],[V/U VENTA]]*PRODUCTOS[[#This Row],[CANTIDAD]]</f>
        <v>0</v>
      </c>
    </row>
    <row r="1032" spans="4:4" x14ac:dyDescent="0.25">
      <c r="D1032" s="15">
        <f>PRODUCTOS[[#This Row],[V/U VENTA]]*PRODUCTOS[[#This Row],[CANTIDAD]]</f>
        <v>0</v>
      </c>
    </row>
    <row r="1033" spans="4:4" x14ac:dyDescent="0.25">
      <c r="D1033" s="15">
        <f>PRODUCTOS[[#This Row],[V/U VENTA]]*PRODUCTOS[[#This Row],[CANTIDAD]]</f>
        <v>0</v>
      </c>
    </row>
    <row r="1034" spans="4:4" x14ac:dyDescent="0.25">
      <c r="D1034" s="15">
        <f>PRODUCTOS[[#This Row],[V/U VENTA]]*PRODUCTOS[[#This Row],[CANTIDAD]]</f>
        <v>0</v>
      </c>
    </row>
    <row r="1035" spans="4:4" x14ac:dyDescent="0.25">
      <c r="D1035" s="15">
        <f>PRODUCTOS[[#This Row],[V/U VENTA]]*PRODUCTOS[[#This Row],[CANTIDAD]]</f>
        <v>0</v>
      </c>
    </row>
    <row r="1036" spans="4:4" x14ac:dyDescent="0.25">
      <c r="D1036" s="15">
        <f>PRODUCTOS[[#This Row],[V/U VENTA]]*PRODUCTOS[[#This Row],[CANTIDAD]]</f>
        <v>0</v>
      </c>
    </row>
    <row r="1037" spans="4:4" x14ac:dyDescent="0.25">
      <c r="D1037" s="15">
        <f>PRODUCTOS[[#This Row],[V/U VENTA]]*PRODUCTOS[[#This Row],[CANTIDAD]]</f>
        <v>0</v>
      </c>
    </row>
    <row r="1038" spans="4:4" x14ac:dyDescent="0.25">
      <c r="D1038" s="15">
        <f>PRODUCTOS[[#This Row],[V/U VENTA]]*PRODUCTOS[[#This Row],[CANTIDAD]]</f>
        <v>0</v>
      </c>
    </row>
    <row r="1039" spans="4:4" x14ac:dyDescent="0.25">
      <c r="D1039" s="15">
        <f>PRODUCTOS[[#This Row],[V/U VENTA]]*PRODUCTOS[[#This Row],[CANTIDAD]]</f>
        <v>0</v>
      </c>
    </row>
    <row r="1040" spans="4:4" x14ac:dyDescent="0.25">
      <c r="D1040" s="15">
        <f>PRODUCTOS[[#This Row],[V/U VENTA]]*PRODUCTOS[[#This Row],[CANTIDAD]]</f>
        <v>0</v>
      </c>
    </row>
    <row r="1041" spans="4:4" x14ac:dyDescent="0.25">
      <c r="D1041" s="15">
        <f>PRODUCTOS[[#This Row],[V/U VENTA]]*PRODUCTOS[[#This Row],[CANTIDAD]]</f>
        <v>0</v>
      </c>
    </row>
    <row r="1042" spans="4:4" x14ac:dyDescent="0.25">
      <c r="D1042" s="15">
        <f>PRODUCTOS[[#This Row],[V/U VENTA]]*PRODUCTOS[[#This Row],[CANTIDAD]]</f>
        <v>0</v>
      </c>
    </row>
    <row r="1043" spans="4:4" x14ac:dyDescent="0.25">
      <c r="D1043" s="15">
        <f>PRODUCTOS[[#This Row],[V/U VENTA]]*PRODUCTOS[[#This Row],[CANTIDAD]]</f>
        <v>0</v>
      </c>
    </row>
    <row r="1044" spans="4:4" x14ac:dyDescent="0.25">
      <c r="D1044" s="15">
        <f>PRODUCTOS[[#This Row],[V/U VENTA]]*PRODUCTOS[[#This Row],[CANTIDAD]]</f>
        <v>0</v>
      </c>
    </row>
    <row r="1045" spans="4:4" x14ac:dyDescent="0.25">
      <c r="D1045" s="15">
        <f>PRODUCTOS[[#This Row],[V/U VENTA]]*PRODUCTOS[[#This Row],[CANTIDAD]]</f>
        <v>0</v>
      </c>
    </row>
    <row r="1046" spans="4:4" x14ac:dyDescent="0.25">
      <c r="D1046" s="15">
        <f>PRODUCTOS[[#This Row],[V/U VENTA]]*PRODUCTOS[[#This Row],[CANTIDAD]]</f>
        <v>0</v>
      </c>
    </row>
    <row r="1047" spans="4:4" x14ac:dyDescent="0.25">
      <c r="D1047" s="15">
        <f>PRODUCTOS[[#This Row],[V/U VENTA]]*PRODUCTOS[[#This Row],[CANTIDAD]]</f>
        <v>0</v>
      </c>
    </row>
    <row r="1048" spans="4:4" x14ac:dyDescent="0.25">
      <c r="D1048" s="15">
        <f>PRODUCTOS[[#This Row],[V/U VENTA]]*PRODUCTOS[[#This Row],[CANTIDAD]]</f>
        <v>0</v>
      </c>
    </row>
    <row r="1049" spans="4:4" x14ac:dyDescent="0.25">
      <c r="D1049" s="15">
        <f>PRODUCTOS[[#This Row],[V/U VENTA]]*PRODUCTOS[[#This Row],[CANTIDAD]]</f>
        <v>0</v>
      </c>
    </row>
    <row r="1050" spans="4:4" x14ac:dyDescent="0.25">
      <c r="D1050" s="15">
        <f>PRODUCTOS[[#This Row],[V/U VENTA]]*PRODUCTOS[[#This Row],[CANTIDAD]]</f>
        <v>0</v>
      </c>
    </row>
    <row r="1051" spans="4:4" x14ac:dyDescent="0.25">
      <c r="D1051" s="15">
        <f>PRODUCTOS[[#This Row],[V/U VENTA]]*PRODUCTOS[[#This Row],[CANTIDAD]]</f>
        <v>0</v>
      </c>
    </row>
    <row r="1052" spans="4:4" x14ac:dyDescent="0.25">
      <c r="D1052" s="15">
        <f>PRODUCTOS[[#This Row],[V/U VENTA]]*PRODUCTOS[[#This Row],[CANTIDAD]]</f>
        <v>0</v>
      </c>
    </row>
    <row r="1053" spans="4:4" x14ac:dyDescent="0.25">
      <c r="D1053" s="15">
        <f>PRODUCTOS[[#This Row],[V/U VENTA]]*PRODUCTOS[[#This Row],[CANTIDAD]]</f>
        <v>0</v>
      </c>
    </row>
    <row r="1054" spans="4:4" x14ac:dyDescent="0.25">
      <c r="D1054" s="15">
        <f>PRODUCTOS[[#This Row],[V/U VENTA]]*PRODUCTOS[[#This Row],[CANTIDAD]]</f>
        <v>0</v>
      </c>
    </row>
    <row r="1055" spans="4:4" x14ac:dyDescent="0.25">
      <c r="D1055" s="15">
        <f>PRODUCTOS[[#This Row],[V/U VENTA]]*PRODUCTOS[[#This Row],[CANTIDAD]]</f>
        <v>0</v>
      </c>
    </row>
  </sheetData>
  <conditionalFormatting sqref="G8:G891">
    <cfRule type="cellIs" dxfId="4" priority="1" operator="lessThan">
      <formula>$E$8</formula>
    </cfRule>
  </conditionalFormatting>
  <pageMargins left="0.7" right="0.7" top="0.75" bottom="0.75" header="0.3" footer="0.3"/>
  <pageSetup paperSize="9" scale="12" fitToHeight="0" orientation="portrait" horizontalDpi="180" verticalDpi="18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AF13"/>
  <sheetViews>
    <sheetView workbookViewId="0">
      <selection activeCell="D16" sqref="D16"/>
    </sheetView>
  </sheetViews>
  <sheetFormatPr baseColWidth="10" defaultRowHeight="15" x14ac:dyDescent="0.25"/>
  <cols>
    <col min="2" max="2" width="20.140625" bestFit="1" customWidth="1"/>
    <col min="3" max="3" width="13.7109375" customWidth="1"/>
    <col min="6" max="6" width="25.7109375" bestFit="1" customWidth="1"/>
    <col min="32" max="32" width="21" customWidth="1"/>
  </cols>
  <sheetData>
    <row r="2" spans="1:32" x14ac:dyDescent="0.25">
      <c r="G2" t="s">
        <v>1362</v>
      </c>
    </row>
    <row r="6" spans="1:32" x14ac:dyDescent="0.25">
      <c r="A6" s="7">
        <f>COUNTA(A8:A11991)+8</f>
        <v>11</v>
      </c>
    </row>
    <row r="7" spans="1:32" x14ac:dyDescent="0.25">
      <c r="A7" s="16" t="s">
        <v>1322</v>
      </c>
      <c r="B7" s="16" t="s">
        <v>1323</v>
      </c>
      <c r="C7" s="16" t="s">
        <v>1324</v>
      </c>
      <c r="D7" s="16" t="s">
        <v>1325</v>
      </c>
      <c r="E7" s="16" t="s">
        <v>1326</v>
      </c>
      <c r="F7" s="16" t="s">
        <v>1349</v>
      </c>
      <c r="AA7" s="20" t="s">
        <v>1322</v>
      </c>
      <c r="AB7" s="21" t="s">
        <v>1323</v>
      </c>
      <c r="AC7" s="21" t="s">
        <v>1324</v>
      </c>
      <c r="AD7" s="21" t="s">
        <v>1325</v>
      </c>
      <c r="AE7" s="22" t="s">
        <v>1326</v>
      </c>
      <c r="AF7" s="43" t="s">
        <v>1349</v>
      </c>
    </row>
    <row r="8" spans="1:32" x14ac:dyDescent="0.25">
      <c r="A8" s="19">
        <v>44148</v>
      </c>
      <c r="B8" t="s">
        <v>1370</v>
      </c>
      <c r="C8">
        <v>1711976892</v>
      </c>
      <c r="D8">
        <v>2035096</v>
      </c>
      <c r="E8" t="s">
        <v>1367</v>
      </c>
      <c r="F8" s="41" t="s">
        <v>1365</v>
      </c>
      <c r="AA8" s="19">
        <v>44149</v>
      </c>
      <c r="AB8" t="s">
        <v>1366</v>
      </c>
      <c r="AC8">
        <v>1722440235</v>
      </c>
      <c r="AD8">
        <v>2035096</v>
      </c>
      <c r="AE8" t="s">
        <v>1367</v>
      </c>
      <c r="AF8" t="s">
        <v>1365</v>
      </c>
    </row>
    <row r="9" spans="1:32" x14ac:dyDescent="0.25">
      <c r="A9" s="19">
        <v>44148</v>
      </c>
      <c r="B9" t="s">
        <v>1363</v>
      </c>
      <c r="C9">
        <v>1716805237</v>
      </c>
      <c r="D9">
        <v>3152351</v>
      </c>
      <c r="E9" t="s">
        <v>1364</v>
      </c>
      <c r="F9" s="41" t="s">
        <v>1365</v>
      </c>
    </row>
    <row r="10" spans="1:32" x14ac:dyDescent="0.25">
      <c r="A10" s="19">
        <v>44148</v>
      </c>
      <c r="B10" t="s">
        <v>1366</v>
      </c>
      <c r="C10">
        <v>1722440235</v>
      </c>
      <c r="D10">
        <v>2035096</v>
      </c>
      <c r="E10" t="s">
        <v>1367</v>
      </c>
      <c r="F10" s="41" t="s">
        <v>1365</v>
      </c>
    </row>
    <row r="11" spans="1:32" x14ac:dyDescent="0.25">
      <c r="A11" s="67"/>
      <c r="F11" s="41"/>
    </row>
    <row r="12" spans="1:32" x14ac:dyDescent="0.25">
      <c r="A12" s="67"/>
      <c r="F12" s="41"/>
    </row>
    <row r="13" spans="1:32" x14ac:dyDescent="0.25">
      <c r="A13" s="67"/>
      <c r="F13" s="4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A1:W46"/>
  <sheetViews>
    <sheetView showGridLines="0" zoomScaleNormal="100" zoomScaleSheetLayoutView="86" zoomScalePageLayoutView="80" workbookViewId="0">
      <selection activeCell="L13" sqref="L13"/>
    </sheetView>
  </sheetViews>
  <sheetFormatPr baseColWidth="10" defaultColWidth="17.28515625" defaultRowHeight="12.75" x14ac:dyDescent="0.2"/>
  <cols>
    <col min="1" max="1" width="0.5703125" style="24" customWidth="1"/>
    <col min="2" max="2" width="0.42578125" style="24" customWidth="1"/>
    <col min="3" max="3" width="3.28515625" style="24" customWidth="1"/>
    <col min="4" max="4" width="0.140625" style="24" customWidth="1"/>
    <col min="5" max="5" width="12.7109375" style="24" customWidth="1"/>
    <col min="6" max="6" width="29" style="24" customWidth="1"/>
    <col min="7" max="7" width="10.42578125" style="24" customWidth="1"/>
    <col min="8" max="8" width="14.7109375" style="24" customWidth="1"/>
    <col min="9" max="9" width="3.5703125" style="24" customWidth="1"/>
    <col min="10" max="10" width="0.5703125" style="24" customWidth="1"/>
    <col min="11" max="11" width="2.140625" style="24" customWidth="1"/>
    <col min="12" max="12" width="27.5703125" style="24" customWidth="1"/>
    <col min="13" max="16384" width="17.28515625" style="24"/>
  </cols>
  <sheetData>
    <row r="1" spans="1:18" ht="22.9" customHeight="1" x14ac:dyDescent="0.2">
      <c r="A1" s="24">
        <v>0</v>
      </c>
      <c r="B1" s="24">
        <v>1</v>
      </c>
    </row>
    <row r="2" spans="1:18" ht="2.4500000000000002" customHeight="1" x14ac:dyDescent="0.2">
      <c r="C2" s="25"/>
      <c r="D2" s="25"/>
      <c r="E2" s="25"/>
      <c r="F2" s="25"/>
      <c r="G2" s="25"/>
      <c r="H2" s="25"/>
      <c r="I2" s="25"/>
    </row>
    <row r="3" spans="1:18" x14ac:dyDescent="0.2">
      <c r="B3" s="25"/>
      <c r="C3" s="29"/>
      <c r="D3" s="29"/>
      <c r="E3" s="29"/>
      <c r="F3" s="29"/>
      <c r="G3" s="29"/>
      <c r="H3" s="29"/>
      <c r="I3" s="29"/>
      <c r="J3" s="25"/>
    </row>
    <row r="4" spans="1:18" ht="13.5" thickBot="1" x14ac:dyDescent="0.25">
      <c r="B4" s="25"/>
      <c r="C4" s="29"/>
      <c r="D4" s="29"/>
      <c r="E4" s="29"/>
      <c r="F4" s="29"/>
      <c r="H4" s="29"/>
      <c r="I4" s="29"/>
      <c r="J4" s="25"/>
    </row>
    <row r="5" spans="1:18" ht="16.5" customHeight="1" thickBot="1" x14ac:dyDescent="0.25">
      <c r="B5" s="25"/>
      <c r="C5" s="29"/>
      <c r="D5" s="29"/>
      <c r="E5" s="29"/>
      <c r="F5" s="49"/>
      <c r="G5" s="57" t="s">
        <v>1331</v>
      </c>
      <c r="H5" s="59" t="s">
        <v>1346</v>
      </c>
      <c r="I5" s="29"/>
      <c r="J5" s="25"/>
      <c r="K5" s="28"/>
      <c r="L5" s="28"/>
      <c r="M5" s="28"/>
      <c r="N5" s="28"/>
      <c r="O5" s="28"/>
      <c r="P5" s="28"/>
      <c r="Q5" s="28"/>
      <c r="R5" s="28"/>
    </row>
    <row r="6" spans="1:18" ht="17.25" customHeight="1" thickBot="1" x14ac:dyDescent="0.25">
      <c r="B6" s="25"/>
      <c r="C6" s="29"/>
      <c r="D6" s="29"/>
      <c r="E6" s="29"/>
      <c r="F6" s="29"/>
      <c r="G6" s="96" t="s">
        <v>1332</v>
      </c>
      <c r="H6" s="97"/>
      <c r="I6" s="29"/>
      <c r="J6" s="25"/>
      <c r="K6" s="28"/>
      <c r="L6" s="28"/>
      <c r="M6" s="28"/>
      <c r="N6" s="28"/>
      <c r="O6" s="28"/>
      <c r="P6" s="28"/>
      <c r="Q6" s="28"/>
      <c r="R6" s="28"/>
    </row>
    <row r="7" spans="1:18" ht="13.5" thickBot="1" x14ac:dyDescent="0.25">
      <c r="B7" s="25"/>
      <c r="C7" s="29"/>
      <c r="D7" s="29"/>
      <c r="G7" s="57" t="s">
        <v>1344</v>
      </c>
      <c r="H7" s="60">
        <v>1</v>
      </c>
      <c r="I7" s="29"/>
      <c r="J7" s="25"/>
      <c r="K7" s="28"/>
      <c r="L7" s="28"/>
      <c r="M7" s="28"/>
      <c r="N7" s="28"/>
      <c r="O7" s="28"/>
      <c r="P7" s="28"/>
      <c r="Q7" s="28"/>
      <c r="R7" s="28"/>
    </row>
    <row r="8" spans="1:18" ht="13.5" thickBot="1" x14ac:dyDescent="0.25">
      <c r="B8" s="25"/>
      <c r="C8" s="29"/>
      <c r="D8" s="29"/>
      <c r="E8" s="50" t="s">
        <v>1343</v>
      </c>
      <c r="F8" s="31" t="s">
        <v>1810</v>
      </c>
      <c r="G8" s="70" t="s">
        <v>1376</v>
      </c>
      <c r="H8" s="69">
        <v>1124715451</v>
      </c>
      <c r="I8" s="29"/>
      <c r="J8" s="25"/>
      <c r="K8" s="28"/>
      <c r="L8" s="28"/>
      <c r="M8" s="28"/>
      <c r="N8" s="28"/>
      <c r="O8" s="28"/>
      <c r="P8" s="28"/>
      <c r="Q8" s="28"/>
      <c r="R8" s="28"/>
    </row>
    <row r="9" spans="1:18" x14ac:dyDescent="0.2">
      <c r="B9" s="25"/>
      <c r="C9" s="29"/>
      <c r="D9" s="29"/>
      <c r="E9" s="50" t="s">
        <v>1333</v>
      </c>
      <c r="F9" s="30" t="s">
        <v>1811</v>
      </c>
      <c r="G9" s="32"/>
      <c r="H9" s="32"/>
      <c r="I9" s="32"/>
      <c r="J9" s="25"/>
      <c r="K9" s="28"/>
      <c r="L9" s="28"/>
      <c r="M9" s="33"/>
      <c r="N9" s="28"/>
      <c r="O9" s="28"/>
      <c r="P9" s="28"/>
      <c r="Q9" s="28"/>
      <c r="R9" s="28"/>
    </row>
    <row r="10" spans="1:18" x14ac:dyDescent="0.2">
      <c r="B10" s="25"/>
      <c r="C10" s="29"/>
      <c r="D10" s="29"/>
      <c r="E10" s="29"/>
      <c r="F10" s="29"/>
      <c r="G10" s="29"/>
      <c r="H10" s="29"/>
      <c r="I10" s="29"/>
      <c r="J10" s="25"/>
      <c r="K10" s="28"/>
      <c r="L10" s="28"/>
      <c r="M10" s="28"/>
      <c r="N10" s="28"/>
      <c r="O10" s="28"/>
      <c r="P10" s="28"/>
      <c r="Q10" s="28"/>
      <c r="R10" s="28"/>
    </row>
    <row r="11" spans="1:18" ht="11.25" customHeight="1" x14ac:dyDescent="0.2">
      <c r="B11" s="25"/>
      <c r="C11" s="29"/>
      <c r="D11" s="29"/>
      <c r="E11" s="94" t="s">
        <v>1342</v>
      </c>
      <c r="F11" s="95"/>
      <c r="G11" s="95"/>
      <c r="H11" s="95"/>
      <c r="I11" s="29"/>
      <c r="J11" s="25"/>
      <c r="K11" s="28"/>
      <c r="L11" s="28"/>
      <c r="M11" s="28"/>
      <c r="N11" s="28"/>
      <c r="O11" s="28"/>
      <c r="P11" s="28"/>
      <c r="Q11" s="28"/>
      <c r="R11" s="28"/>
    </row>
    <row r="12" spans="1:18" ht="3.75" customHeight="1" x14ac:dyDescent="0.2">
      <c r="B12" s="25"/>
      <c r="C12" s="29"/>
      <c r="D12" s="29"/>
      <c r="E12" s="35"/>
      <c r="F12" s="35"/>
      <c r="G12" s="35"/>
      <c r="H12" s="35"/>
      <c r="I12" s="29"/>
      <c r="J12" s="25"/>
      <c r="K12" s="28"/>
      <c r="L12" s="28"/>
      <c r="M12" s="28"/>
      <c r="N12" s="28"/>
      <c r="O12" s="28"/>
      <c r="P12" s="28"/>
      <c r="Q12" s="28"/>
      <c r="R12" s="28"/>
    </row>
    <row r="13" spans="1:18" ht="15.75" customHeight="1" x14ac:dyDescent="0.2">
      <c r="B13" s="25"/>
      <c r="C13" s="40"/>
      <c r="D13" s="40"/>
      <c r="E13" s="47" t="s">
        <v>1334</v>
      </c>
      <c r="F13" s="51"/>
      <c r="G13" s="51"/>
      <c r="H13" s="29"/>
      <c r="I13" s="29"/>
      <c r="J13" s="25"/>
      <c r="K13" s="28"/>
      <c r="L13" s="28"/>
      <c r="M13" s="34"/>
      <c r="N13" s="28"/>
      <c r="O13" s="28"/>
      <c r="P13" s="28"/>
      <c r="Q13" s="28"/>
      <c r="R13" s="28"/>
    </row>
    <row r="14" spans="1:18" x14ac:dyDescent="0.2">
      <c r="B14" s="25"/>
      <c r="C14" s="40"/>
      <c r="D14" s="40"/>
      <c r="E14" s="47" t="s">
        <v>1345</v>
      </c>
      <c r="F14" s="51"/>
      <c r="G14" s="51"/>
      <c r="H14" s="29"/>
      <c r="I14" s="29"/>
      <c r="J14" s="25"/>
      <c r="K14" s="28"/>
      <c r="L14" s="28"/>
      <c r="M14" s="28"/>
      <c r="N14" s="28"/>
      <c r="O14" s="28"/>
      <c r="P14" s="28"/>
      <c r="Q14" s="28"/>
      <c r="R14" s="28"/>
    </row>
    <row r="15" spans="1:18" x14ac:dyDescent="0.2">
      <c r="B15" s="25"/>
      <c r="C15" s="40"/>
      <c r="D15" s="40"/>
      <c r="E15" s="47" t="s">
        <v>1335</v>
      </c>
      <c r="F15" s="51"/>
      <c r="G15" s="51"/>
      <c r="H15" s="29"/>
      <c r="I15" s="29"/>
      <c r="J15" s="25"/>
      <c r="K15" s="28"/>
      <c r="L15" s="28"/>
      <c r="M15" s="28"/>
      <c r="N15" s="28"/>
      <c r="O15" s="28"/>
      <c r="P15" s="28"/>
      <c r="Q15" s="28"/>
      <c r="R15" s="28"/>
    </row>
    <row r="16" spans="1:18" x14ac:dyDescent="0.2">
      <c r="B16" s="25"/>
      <c r="C16" s="40"/>
      <c r="D16" s="40"/>
      <c r="E16" s="47" t="s">
        <v>1336</v>
      </c>
      <c r="F16" s="51"/>
      <c r="G16" s="51"/>
      <c r="H16" s="29"/>
      <c r="I16" s="29"/>
      <c r="J16" s="25"/>
      <c r="K16" s="28"/>
      <c r="L16" s="28"/>
      <c r="M16" s="28"/>
      <c r="N16" s="28"/>
      <c r="O16" s="28"/>
      <c r="P16" s="28"/>
      <c r="Q16" s="28"/>
      <c r="R16" s="28"/>
    </row>
    <row r="17" spans="2:23" x14ac:dyDescent="0.2">
      <c r="B17" s="25"/>
      <c r="C17" s="40"/>
      <c r="D17" s="40"/>
      <c r="E17" s="47" t="s">
        <v>1337</v>
      </c>
      <c r="F17" s="51"/>
      <c r="G17" s="51"/>
      <c r="H17" s="29"/>
      <c r="I17" s="29"/>
      <c r="J17" s="25"/>
      <c r="K17" s="28"/>
      <c r="L17" s="28"/>
      <c r="M17" s="28"/>
      <c r="N17" s="28"/>
      <c r="O17" s="28"/>
      <c r="P17" s="28"/>
      <c r="Q17" s="28"/>
      <c r="R17" s="28"/>
    </row>
    <row r="18" spans="2:23" x14ac:dyDescent="0.2">
      <c r="B18" s="25"/>
      <c r="C18" s="40"/>
      <c r="D18" s="40"/>
      <c r="E18" s="47" t="s">
        <v>1350</v>
      </c>
      <c r="F18" s="51"/>
      <c r="G18" s="51"/>
      <c r="H18" s="29"/>
      <c r="I18" s="29"/>
      <c r="J18" s="25"/>
      <c r="K18" s="28"/>
      <c r="L18" s="28"/>
      <c r="M18" s="28"/>
      <c r="N18" s="28"/>
      <c r="O18" s="28"/>
      <c r="P18" s="28"/>
      <c r="Q18" s="28"/>
      <c r="R18" s="28"/>
    </row>
    <row r="19" spans="2:23" x14ac:dyDescent="0.2">
      <c r="B19" s="25"/>
      <c r="J19" s="25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</row>
    <row r="20" spans="2:23" x14ac:dyDescent="0.2">
      <c r="B20" s="25"/>
      <c r="E20" s="38" t="s">
        <v>1</v>
      </c>
      <c r="F20" s="46" t="s">
        <v>1328</v>
      </c>
      <c r="G20" s="58" t="s">
        <v>1351</v>
      </c>
      <c r="H20" s="46" t="s">
        <v>1338</v>
      </c>
      <c r="J20" s="25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</row>
    <row r="21" spans="2:23" ht="12" customHeight="1" x14ac:dyDescent="0.2">
      <c r="B21" s="25"/>
      <c r="C21" s="28"/>
      <c r="D21" s="28"/>
      <c r="E21" s="54"/>
      <c r="F21" s="53"/>
      <c r="G21" s="52"/>
      <c r="H21" s="54"/>
      <c r="I21" s="28"/>
      <c r="J21" s="25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</row>
    <row r="22" spans="2:23" ht="12" customHeight="1" x14ac:dyDescent="0.2">
      <c r="B22" s="25"/>
      <c r="C22" s="28"/>
      <c r="D22" s="28"/>
      <c r="E22" s="54"/>
      <c r="F22" s="53"/>
      <c r="G22" s="52"/>
      <c r="H22" s="54"/>
      <c r="I22" s="28"/>
      <c r="J22" s="25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</row>
    <row r="23" spans="2:23" ht="12" customHeight="1" x14ac:dyDescent="0.2">
      <c r="B23" s="25"/>
      <c r="C23" s="28"/>
      <c r="D23" s="28"/>
      <c r="E23" s="54"/>
      <c r="F23" s="53"/>
      <c r="G23" s="52"/>
      <c r="H23" s="54"/>
      <c r="I23" s="28"/>
      <c r="J23" s="25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</row>
    <row r="24" spans="2:23" ht="12" customHeight="1" x14ac:dyDescent="0.2">
      <c r="B24" s="25"/>
      <c r="C24" s="28"/>
      <c r="D24" s="28"/>
      <c r="E24" s="54"/>
      <c r="F24" s="53"/>
      <c r="G24" s="52"/>
      <c r="H24" s="54"/>
      <c r="I24" s="28"/>
      <c r="J24" s="25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</row>
    <row r="25" spans="2:23" ht="12" customHeight="1" x14ac:dyDescent="0.2">
      <c r="B25" s="25"/>
      <c r="C25" s="28"/>
      <c r="D25" s="28"/>
      <c r="E25" s="54"/>
      <c r="F25" s="53"/>
      <c r="G25" s="52"/>
      <c r="H25" s="54"/>
      <c r="I25" s="28"/>
      <c r="J25" s="25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</row>
    <row r="26" spans="2:23" ht="12" customHeight="1" x14ac:dyDescent="0.2">
      <c r="B26" s="25"/>
      <c r="C26" s="28"/>
      <c r="D26" s="28"/>
      <c r="E26" s="54"/>
      <c r="F26" s="53"/>
      <c r="G26" s="52"/>
      <c r="H26" s="54"/>
      <c r="I26" s="28"/>
      <c r="J26" s="25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</row>
    <row r="27" spans="2:23" ht="12" customHeight="1" x14ac:dyDescent="0.2">
      <c r="B27" s="25"/>
      <c r="C27" s="28"/>
      <c r="D27" s="28"/>
      <c r="E27" s="54"/>
      <c r="F27" s="53"/>
      <c r="G27" s="52"/>
      <c r="H27" s="54"/>
      <c r="I27" s="28"/>
      <c r="J27" s="25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</row>
    <row r="28" spans="2:23" ht="12" customHeight="1" x14ac:dyDescent="0.2">
      <c r="B28" s="25"/>
      <c r="C28" s="28"/>
      <c r="D28" s="28"/>
      <c r="E28" s="54"/>
      <c r="F28" s="53"/>
      <c r="G28" s="52"/>
      <c r="H28" s="54"/>
      <c r="I28" s="28"/>
      <c r="J28" s="25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</row>
    <row r="29" spans="2:23" ht="12" customHeight="1" x14ac:dyDescent="0.2">
      <c r="B29" s="25"/>
      <c r="C29" s="28"/>
      <c r="D29" s="28"/>
      <c r="E29" s="54"/>
      <c r="F29" s="53"/>
      <c r="G29" s="52"/>
      <c r="H29" s="54"/>
      <c r="I29" s="28"/>
      <c r="J29" s="25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</row>
    <row r="30" spans="2:23" ht="12" customHeight="1" x14ac:dyDescent="0.2">
      <c r="B30" s="25"/>
      <c r="C30" s="28"/>
      <c r="D30" s="28"/>
      <c r="E30" s="54"/>
      <c r="F30" s="53"/>
      <c r="G30" s="52"/>
      <c r="H30" s="54"/>
      <c r="I30" s="28"/>
      <c r="J30" s="25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</row>
    <row r="31" spans="2:23" ht="12" customHeight="1" x14ac:dyDescent="0.2">
      <c r="B31" s="25"/>
      <c r="C31" s="28"/>
      <c r="D31" s="28"/>
      <c r="E31" s="54"/>
      <c r="F31" s="53"/>
      <c r="G31" s="52"/>
      <c r="H31" s="54"/>
      <c r="I31" s="28"/>
      <c r="J31" s="25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</row>
    <row r="32" spans="2:23" x14ac:dyDescent="0.2">
      <c r="B32" s="25"/>
      <c r="C32" s="28"/>
      <c r="D32" s="28"/>
      <c r="E32" s="56"/>
      <c r="F32" s="55"/>
      <c r="G32" s="52"/>
      <c r="H32" s="54"/>
      <c r="I32" s="28"/>
      <c r="J32" s="25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</row>
    <row r="33" spans="2:23" ht="12" customHeight="1" x14ac:dyDescent="0.2">
      <c r="B33" s="25"/>
      <c r="C33" s="28"/>
      <c r="D33" s="28"/>
      <c r="E33" s="28"/>
      <c r="F33" s="28"/>
      <c r="G33" s="28"/>
      <c r="H33" s="28"/>
      <c r="J33" s="25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</row>
    <row r="34" spans="2:23" ht="9" customHeight="1" x14ac:dyDescent="0.2">
      <c r="B34" s="25"/>
      <c r="C34" s="28"/>
      <c r="D34" s="28"/>
      <c r="E34" s="28"/>
      <c r="H34" s="45">
        <f>SUM(H21:H32)</f>
        <v>0</v>
      </c>
      <c r="J34" s="25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</row>
    <row r="35" spans="2:23" ht="0.6" customHeight="1" x14ac:dyDescent="0.2">
      <c r="B35" s="25"/>
      <c r="C35" s="28"/>
      <c r="D35" s="28"/>
      <c r="E35" s="28"/>
      <c r="G35" s="27"/>
      <c r="H35" s="26"/>
      <c r="J35" s="25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</row>
    <row r="36" spans="2:23" x14ac:dyDescent="0.2">
      <c r="B36" s="25"/>
      <c r="C36" s="28"/>
      <c r="D36" s="28"/>
      <c r="E36" s="28"/>
      <c r="G36" s="44" t="s">
        <v>1339</v>
      </c>
      <c r="H36" s="48">
        <f>IFERROR(SUM(H21:H32),"")</f>
        <v>0</v>
      </c>
      <c r="J36" s="25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</row>
    <row r="37" spans="2:23" ht="0.6" customHeight="1" x14ac:dyDescent="0.2">
      <c r="B37" s="25"/>
      <c r="C37" s="28"/>
      <c r="D37" s="28"/>
      <c r="E37" s="28"/>
      <c r="G37" s="36"/>
      <c r="H37" s="37"/>
      <c r="J37" s="25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</row>
    <row r="38" spans="2:23" x14ac:dyDescent="0.2">
      <c r="B38" s="25"/>
      <c r="C38" s="28"/>
      <c r="D38" s="28"/>
      <c r="E38" s="28"/>
      <c r="G38" s="44" t="s">
        <v>1340</v>
      </c>
      <c r="H38" s="48">
        <f>(H36*0.12)</f>
        <v>0</v>
      </c>
      <c r="J38" s="25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</row>
    <row r="39" spans="2:23" ht="0.6" customHeight="1" x14ac:dyDescent="0.2">
      <c r="B39" s="25"/>
      <c r="G39" s="36"/>
      <c r="H39" s="37"/>
      <c r="J39" s="25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</row>
    <row r="40" spans="2:23" x14ac:dyDescent="0.2">
      <c r="B40" s="25"/>
      <c r="G40" s="44" t="s">
        <v>1341</v>
      </c>
      <c r="H40" s="48">
        <f>SUM(H36+H38)</f>
        <v>0</v>
      </c>
      <c r="J40" s="25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</row>
    <row r="41" spans="2:23" ht="0.6" customHeight="1" x14ac:dyDescent="0.2">
      <c r="B41" s="25"/>
      <c r="G41" s="27"/>
      <c r="H41" s="26"/>
      <c r="J41" s="25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</row>
    <row r="42" spans="2:23" x14ac:dyDescent="0.2">
      <c r="B42" s="25"/>
      <c r="J42" s="25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</row>
    <row r="43" spans="2:23" ht="2.4500000000000002" customHeight="1" x14ac:dyDescent="0.2">
      <c r="C43" s="25"/>
      <c r="D43" s="25"/>
      <c r="E43" s="25"/>
      <c r="F43" s="25"/>
      <c r="G43" s="25"/>
      <c r="H43" s="25"/>
      <c r="I43" s="25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</row>
    <row r="44" spans="2:23" x14ac:dyDescent="0.2"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</row>
    <row r="45" spans="2:23" ht="4.9000000000000004" customHeight="1" x14ac:dyDescent="0.2"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</row>
    <row r="46" spans="2:23" ht="7.15" customHeight="1" x14ac:dyDescent="0.2"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</row>
  </sheetData>
  <mergeCells count="2">
    <mergeCell ref="E11:H11"/>
    <mergeCell ref="G6:H6"/>
  </mergeCells>
  <pageMargins left="0.75" right="0.75" top="1" bottom="1" header="0.5" footer="0.5"/>
  <pageSetup paperSize="9" scale="22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L43"/>
  <sheetViews>
    <sheetView showGridLines="0" zoomScale="130" zoomScaleNormal="130" workbookViewId="0">
      <selection activeCell="C37" sqref="C37"/>
    </sheetView>
  </sheetViews>
  <sheetFormatPr baseColWidth="10" defaultRowHeight="15" x14ac:dyDescent="0.25"/>
  <cols>
    <col min="1" max="1" width="8.42578125" customWidth="1"/>
    <col min="2" max="2" width="5.85546875" customWidth="1"/>
    <col min="3" max="3" width="25.28515625" customWidth="1"/>
    <col min="4" max="4" width="7.85546875" customWidth="1"/>
  </cols>
  <sheetData>
    <row r="1" spans="1:12" x14ac:dyDescent="0.25">
      <c r="A1" s="76"/>
      <c r="B1" s="80" t="s">
        <v>1750</v>
      </c>
      <c r="C1" s="84" t="s">
        <v>1346</v>
      </c>
      <c r="D1" s="76"/>
    </row>
    <row r="2" spans="1:12" x14ac:dyDescent="0.25">
      <c r="A2" s="99" t="s">
        <v>1321</v>
      </c>
      <c r="B2" s="99"/>
      <c r="C2" s="99"/>
      <c r="D2" s="99"/>
    </row>
    <row r="3" spans="1:12" ht="12.75" customHeight="1" x14ac:dyDescent="0.25">
      <c r="A3" s="100" t="s">
        <v>1812</v>
      </c>
      <c r="B3" s="100"/>
      <c r="C3" s="100"/>
      <c r="D3" s="100"/>
    </row>
    <row r="4" spans="1:12" ht="10.5" customHeight="1" x14ac:dyDescent="0.25">
      <c r="A4" s="100" t="s">
        <v>1813</v>
      </c>
      <c r="B4" s="100"/>
      <c r="C4" s="100"/>
      <c r="D4" s="100"/>
    </row>
    <row r="5" spans="1:12" ht="11.25" customHeight="1" x14ac:dyDescent="0.25">
      <c r="A5" s="100"/>
      <c r="B5" s="100"/>
      <c r="C5" s="100"/>
      <c r="D5" s="100"/>
    </row>
    <row r="6" spans="1:12" x14ac:dyDescent="0.25">
      <c r="A6" s="100" t="s">
        <v>1751</v>
      </c>
      <c r="B6" s="100"/>
      <c r="C6" s="100"/>
      <c r="D6" s="100"/>
      <c r="E6" s="68"/>
      <c r="F6" s="68"/>
    </row>
    <row r="7" spans="1:12" ht="12.75" customHeight="1" x14ac:dyDescent="0.25">
      <c r="A7" s="101">
        <v>1</v>
      </c>
      <c r="B7" s="101"/>
      <c r="C7" s="101"/>
      <c r="D7" s="101"/>
      <c r="J7" s="98"/>
      <c r="K7" s="98"/>
      <c r="L7" s="98"/>
    </row>
    <row r="8" spans="1:12" ht="15.75" thickBot="1" x14ac:dyDescent="0.3">
      <c r="A8" s="79"/>
      <c r="B8" s="79"/>
      <c r="C8" s="79"/>
      <c r="D8" s="79"/>
      <c r="J8" s="98"/>
      <c r="K8" s="98"/>
      <c r="L8" s="98"/>
    </row>
    <row r="9" spans="1:12" ht="13.5" customHeight="1" x14ac:dyDescent="0.25">
      <c r="A9" s="81" t="s">
        <v>1322</v>
      </c>
      <c r="B9" s="82"/>
      <c r="C9" s="82"/>
      <c r="D9" s="82"/>
      <c r="J9" s="98"/>
      <c r="K9" s="98"/>
      <c r="L9" s="98"/>
    </row>
    <row r="10" spans="1:12" ht="13.5" customHeight="1" x14ac:dyDescent="0.25">
      <c r="A10" s="4" t="s">
        <v>1323</v>
      </c>
      <c r="B10" s="1"/>
      <c r="C10" s="83" t="s">
        <v>1347</v>
      </c>
      <c r="D10" s="1"/>
      <c r="J10" s="98"/>
      <c r="K10" s="98"/>
      <c r="L10" s="98"/>
    </row>
    <row r="11" spans="1:12" ht="12.75" customHeight="1" x14ac:dyDescent="0.25">
      <c r="A11" s="4" t="s">
        <v>1330</v>
      </c>
      <c r="B11" s="1"/>
      <c r="C11" s="83" t="s">
        <v>1348</v>
      </c>
      <c r="D11" s="1"/>
    </row>
    <row r="12" spans="1:12" ht="13.5" customHeight="1" x14ac:dyDescent="0.25">
      <c r="A12" s="4" t="s">
        <v>1325</v>
      </c>
      <c r="B12" s="1"/>
      <c r="C12" s="83" t="s">
        <v>1348</v>
      </c>
      <c r="D12" s="1"/>
    </row>
    <row r="13" spans="1:12" ht="13.5" customHeight="1" x14ac:dyDescent="0.25">
      <c r="A13" s="4" t="s">
        <v>1326</v>
      </c>
      <c r="B13" s="1"/>
      <c r="C13" s="83" t="s">
        <v>1348</v>
      </c>
      <c r="D13" s="1"/>
    </row>
    <row r="14" spans="1:12" ht="12" customHeight="1" x14ac:dyDescent="0.25">
      <c r="A14" s="4" t="s">
        <v>1350</v>
      </c>
      <c r="B14" s="1"/>
      <c r="C14" s="83" t="s">
        <v>1348</v>
      </c>
      <c r="D14" s="1"/>
    </row>
    <row r="15" spans="1:12" ht="8.25" customHeight="1" thickBot="1" x14ac:dyDescent="0.3">
      <c r="A15" s="78"/>
      <c r="B15" s="78"/>
      <c r="C15" s="78"/>
      <c r="D15" s="78"/>
    </row>
    <row r="16" spans="1:12" ht="15.75" thickBot="1" x14ac:dyDescent="0.3">
      <c r="A16" s="89" t="s">
        <v>1</v>
      </c>
      <c r="B16" s="86" t="s">
        <v>1327</v>
      </c>
      <c r="C16" s="85" t="s">
        <v>1328</v>
      </c>
      <c r="D16" s="85" t="s">
        <v>1329</v>
      </c>
    </row>
    <row r="17" spans="1:4" x14ac:dyDescent="0.25">
      <c r="A17" s="92"/>
      <c r="B17" s="92"/>
      <c r="C17" s="92"/>
      <c r="D17" s="92"/>
    </row>
    <row r="18" spans="1:4" x14ac:dyDescent="0.25">
      <c r="A18" s="92"/>
      <c r="B18" s="92"/>
      <c r="C18" s="92"/>
      <c r="D18" s="92" t="s">
        <v>1352</v>
      </c>
    </row>
    <row r="19" spans="1:4" x14ac:dyDescent="0.25">
      <c r="A19" s="92"/>
      <c r="B19" s="92"/>
      <c r="C19" s="92"/>
      <c r="D19" s="92" t="s">
        <v>1352</v>
      </c>
    </row>
    <row r="20" spans="1:4" x14ac:dyDescent="0.25">
      <c r="A20" s="92"/>
      <c r="B20" s="92"/>
      <c r="C20" s="92"/>
      <c r="D20" s="92" t="s">
        <v>1352</v>
      </c>
    </row>
    <row r="21" spans="1:4" x14ac:dyDescent="0.25">
      <c r="A21" s="92"/>
      <c r="B21" s="92"/>
      <c r="C21" s="92"/>
      <c r="D21" s="92" t="s">
        <v>1352</v>
      </c>
    </row>
    <row r="22" spans="1:4" x14ac:dyDescent="0.25">
      <c r="A22" s="92"/>
      <c r="B22" s="92"/>
      <c r="C22" s="92"/>
      <c r="D22" s="92" t="s">
        <v>1352</v>
      </c>
    </row>
    <row r="23" spans="1:4" ht="12" customHeight="1" x14ac:dyDescent="0.25">
      <c r="A23" s="92"/>
      <c r="B23" s="92"/>
      <c r="C23" s="92"/>
      <c r="D23" s="92" t="s">
        <v>1352</v>
      </c>
    </row>
    <row r="24" spans="1:4" x14ac:dyDescent="0.25">
      <c r="A24" s="92"/>
      <c r="B24" s="92"/>
      <c r="C24" s="92"/>
      <c r="D24" s="92" t="s">
        <v>1352</v>
      </c>
    </row>
    <row r="25" spans="1:4" x14ac:dyDescent="0.25">
      <c r="A25" s="92"/>
      <c r="B25" s="92"/>
      <c r="C25" s="92"/>
      <c r="D25" s="92" t="s">
        <v>1352</v>
      </c>
    </row>
    <row r="26" spans="1:4" x14ac:dyDescent="0.25">
      <c r="A26" s="92"/>
      <c r="B26" s="92"/>
      <c r="C26" s="92"/>
      <c r="D26" s="92" t="s">
        <v>1352</v>
      </c>
    </row>
    <row r="27" spans="1:4" x14ac:dyDescent="0.25">
      <c r="A27" s="92"/>
      <c r="B27" s="92"/>
      <c r="C27" s="92"/>
      <c r="D27" s="92" t="s">
        <v>1352</v>
      </c>
    </row>
    <row r="28" spans="1:4" x14ac:dyDescent="0.25">
      <c r="A28" s="92"/>
      <c r="B28" s="92"/>
      <c r="C28" s="92"/>
      <c r="D28" s="92" t="s">
        <v>1352</v>
      </c>
    </row>
    <row r="29" spans="1:4" x14ac:dyDescent="0.25">
      <c r="A29" s="92"/>
      <c r="B29" s="92"/>
      <c r="C29" s="92"/>
      <c r="D29" s="92" t="s">
        <v>1352</v>
      </c>
    </row>
    <row r="30" spans="1:4" x14ac:dyDescent="0.25">
      <c r="A30" s="92"/>
      <c r="B30" s="92"/>
      <c r="C30" s="92"/>
      <c r="D30" s="92" t="s">
        <v>1352</v>
      </c>
    </row>
    <row r="31" spans="1:4" x14ac:dyDescent="0.25">
      <c r="A31" s="92"/>
      <c r="B31" s="92"/>
      <c r="C31" s="92"/>
      <c r="D31" s="92" t="s">
        <v>1352</v>
      </c>
    </row>
    <row r="32" spans="1:4" x14ac:dyDescent="0.25">
      <c r="A32" s="92"/>
      <c r="B32" s="92"/>
      <c r="C32" s="92"/>
      <c r="D32" s="92" t="s">
        <v>1352</v>
      </c>
    </row>
    <row r="33" spans="1:4" x14ac:dyDescent="0.25">
      <c r="A33" s="92"/>
      <c r="B33" s="92"/>
      <c r="C33" s="92"/>
      <c r="D33" s="92" t="s">
        <v>1352</v>
      </c>
    </row>
    <row r="34" spans="1:4" s="77" customFormat="1" x14ac:dyDescent="0.25">
      <c r="A34" s="93"/>
      <c r="B34" s="93"/>
      <c r="C34" s="93"/>
      <c r="D34" s="93" t="s">
        <v>1352</v>
      </c>
    </row>
    <row r="35" spans="1:4" ht="1.5" customHeight="1" x14ac:dyDescent="0.25">
      <c r="A35" s="87"/>
      <c r="B35" s="87"/>
      <c r="C35" s="88"/>
      <c r="D35" s="88"/>
    </row>
    <row r="36" spans="1:4" ht="13.5" customHeight="1" x14ac:dyDescent="0.25">
      <c r="A36" s="17"/>
      <c r="B36" s="17"/>
      <c r="C36" s="91" t="s">
        <v>1341</v>
      </c>
      <c r="D36" s="90"/>
    </row>
    <row r="37" spans="1:4" x14ac:dyDescent="0.25">
      <c r="A37" s="17"/>
      <c r="B37" s="17"/>
      <c r="C37" s="18" t="s">
        <v>1816</v>
      </c>
      <c r="D37" s="23"/>
    </row>
    <row r="38" spans="1:4" x14ac:dyDescent="0.25">
      <c r="C38" t="s">
        <v>1816</v>
      </c>
    </row>
    <row r="39" spans="1:4" x14ac:dyDescent="0.25">
      <c r="C39" t="s">
        <v>1816</v>
      </c>
    </row>
    <row r="40" spans="1:4" x14ac:dyDescent="0.25">
      <c r="C40" t="s">
        <v>1816</v>
      </c>
    </row>
    <row r="41" spans="1:4" x14ac:dyDescent="0.25">
      <c r="C41" t="s">
        <v>1816</v>
      </c>
    </row>
    <row r="42" spans="1:4" x14ac:dyDescent="0.25">
      <c r="C42" t="s">
        <v>1816</v>
      </c>
    </row>
    <row r="43" spans="1:4" x14ac:dyDescent="0.25">
      <c r="C43" t="s">
        <v>1816</v>
      </c>
    </row>
  </sheetData>
  <mergeCells count="10">
    <mergeCell ref="J9:L9"/>
    <mergeCell ref="J10:L10"/>
    <mergeCell ref="A2:D2"/>
    <mergeCell ref="A3:D3"/>
    <mergeCell ref="A4:D4"/>
    <mergeCell ref="A5:D5"/>
    <mergeCell ref="J7:L7"/>
    <mergeCell ref="J8:L8"/>
    <mergeCell ref="A6:D6"/>
    <mergeCell ref="A7:D7"/>
  </mergeCells>
  <pageMargins left="0.15748031496062992" right="0.15748031496062992" top="0" bottom="0.94488188976377963" header="0" footer="0.70866141732283472"/>
  <pageSetup scale="68" orientation="portrait" cellComments="atEnd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L100"/>
  <sheetViews>
    <sheetView workbookViewId="0">
      <selection activeCell="H11" sqref="H11:H22"/>
    </sheetView>
  </sheetViews>
  <sheetFormatPr baseColWidth="10" defaultRowHeight="15" x14ac:dyDescent="0.25"/>
  <cols>
    <col min="2" max="2" width="10.5703125" customWidth="1"/>
    <col min="3" max="3" width="11.28515625" customWidth="1"/>
    <col min="4" max="4" width="12.42578125" customWidth="1"/>
    <col min="5" max="5" width="10.7109375" customWidth="1"/>
    <col min="6" max="6" width="10" customWidth="1"/>
    <col min="7" max="7" width="14.85546875" customWidth="1"/>
    <col min="8" max="8" width="10.140625" customWidth="1"/>
    <col min="9" max="9" width="11.28515625" customWidth="1"/>
    <col min="10" max="10" width="41.140625" customWidth="1"/>
    <col min="11" max="11" width="9.42578125" customWidth="1"/>
    <col min="12" max="12" width="14" customWidth="1"/>
  </cols>
  <sheetData>
    <row r="1" spans="1:12" x14ac:dyDescent="0.25">
      <c r="A1" s="39"/>
    </row>
    <row r="2" spans="1:12" x14ac:dyDescent="0.25">
      <c r="A2" s="39"/>
    </row>
    <row r="3" spans="1:12" x14ac:dyDescent="0.25">
      <c r="A3" s="39"/>
    </row>
    <row r="4" spans="1:12" x14ac:dyDescent="0.25">
      <c r="L4" t="s">
        <v>1352</v>
      </c>
    </row>
    <row r="5" spans="1:12" x14ac:dyDescent="0.25">
      <c r="L5" t="s">
        <v>1352</v>
      </c>
    </row>
    <row r="7" spans="1:12" x14ac:dyDescent="0.25">
      <c r="B7">
        <f>COUNTA(J9:J11926)+9</f>
        <v>12</v>
      </c>
    </row>
    <row r="8" spans="1:12" x14ac:dyDescent="0.25">
      <c r="B8" s="61" t="s">
        <v>1354</v>
      </c>
      <c r="C8" s="61" t="s">
        <v>1355</v>
      </c>
      <c r="D8" s="64" t="s">
        <v>1334</v>
      </c>
      <c r="E8" s="64" t="s">
        <v>1325</v>
      </c>
      <c r="F8" s="64" t="s">
        <v>1326</v>
      </c>
      <c r="G8" s="64" t="s">
        <v>1357</v>
      </c>
      <c r="H8" s="65" t="s">
        <v>1356</v>
      </c>
      <c r="I8" s="62" t="s">
        <v>1</v>
      </c>
      <c r="J8" s="63" t="s">
        <v>1328</v>
      </c>
      <c r="K8" s="62" t="s">
        <v>1351</v>
      </c>
      <c r="L8" s="63" t="s">
        <v>1338</v>
      </c>
    </row>
    <row r="9" spans="1:12" x14ac:dyDescent="0.25">
      <c r="B9" t="s">
        <v>1809</v>
      </c>
      <c r="C9" t="s">
        <v>1363</v>
      </c>
      <c r="D9" t="s">
        <v>1817</v>
      </c>
      <c r="E9" t="s">
        <v>1818</v>
      </c>
      <c r="F9" t="s">
        <v>1364</v>
      </c>
      <c r="G9" t="s">
        <v>1365</v>
      </c>
      <c r="H9" t="s">
        <v>643</v>
      </c>
      <c r="I9">
        <v>4</v>
      </c>
      <c r="J9" t="s">
        <v>259</v>
      </c>
      <c r="K9">
        <v>0.5</v>
      </c>
      <c r="L9" t="s">
        <v>643</v>
      </c>
    </row>
    <row r="10" spans="1:12" x14ac:dyDescent="0.25">
      <c r="B10" t="s">
        <v>1809</v>
      </c>
      <c r="C10" t="s">
        <v>1363</v>
      </c>
      <c r="D10" t="s">
        <v>1817</v>
      </c>
      <c r="E10" t="s">
        <v>1818</v>
      </c>
      <c r="F10" t="s">
        <v>1364</v>
      </c>
      <c r="G10" t="s">
        <v>1365</v>
      </c>
      <c r="H10" t="s">
        <v>811</v>
      </c>
      <c r="I10">
        <v>3</v>
      </c>
      <c r="J10" t="s">
        <v>559</v>
      </c>
      <c r="K10">
        <v>0.17</v>
      </c>
      <c r="L10" t="s">
        <v>811</v>
      </c>
    </row>
    <row r="11" spans="1:12" x14ac:dyDescent="0.25">
      <c r="B11" t="s">
        <v>1809</v>
      </c>
      <c r="C11" t="s">
        <v>1363</v>
      </c>
      <c r="D11" t="s">
        <v>1817</v>
      </c>
      <c r="E11" t="s">
        <v>1818</v>
      </c>
      <c r="F11" t="s">
        <v>1364</v>
      </c>
      <c r="G11" t="s">
        <v>1365</v>
      </c>
      <c r="H11" t="s">
        <v>620</v>
      </c>
      <c r="I11">
        <v>1</v>
      </c>
      <c r="J11" t="s">
        <v>1752</v>
      </c>
      <c r="K11">
        <v>0.25</v>
      </c>
      <c r="L11" t="s">
        <v>620</v>
      </c>
    </row>
    <row r="92" spans="12:12" x14ac:dyDescent="0.25">
      <c r="L92" t="s">
        <v>1352</v>
      </c>
    </row>
    <row r="93" spans="12:12" x14ac:dyDescent="0.25">
      <c r="L93" t="s">
        <v>1352</v>
      </c>
    </row>
    <row r="94" spans="12:12" x14ac:dyDescent="0.25">
      <c r="L94" t="s">
        <v>1352</v>
      </c>
    </row>
    <row r="95" spans="12:12" x14ac:dyDescent="0.25">
      <c r="L95" t="s">
        <v>1352</v>
      </c>
    </row>
    <row r="96" spans="12:12" x14ac:dyDescent="0.25">
      <c r="L96" t="s">
        <v>1352</v>
      </c>
    </row>
    <row r="97" spans="12:12" x14ac:dyDescent="0.25">
      <c r="L97" t="s">
        <v>1352</v>
      </c>
    </row>
    <row r="98" spans="12:12" x14ac:dyDescent="0.25">
      <c r="L98" t="s">
        <v>1352</v>
      </c>
    </row>
    <row r="99" spans="12:12" x14ac:dyDescent="0.25">
      <c r="L99" t="s">
        <v>1352</v>
      </c>
    </row>
    <row r="100" spans="12:12" x14ac:dyDescent="0.25">
      <c r="L100" t="s">
        <v>1352</v>
      </c>
    </row>
  </sheetData>
  <phoneticPr fontId="2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G44"/>
  <sheetViews>
    <sheetView topLeftCell="A4" workbookViewId="0">
      <selection activeCell="C11" sqref="C11:C28"/>
    </sheetView>
  </sheetViews>
  <sheetFormatPr baseColWidth="10" defaultRowHeight="15" x14ac:dyDescent="0.25"/>
  <cols>
    <col min="2" max="2" width="10.5703125" customWidth="1"/>
    <col min="3" max="3" width="10.140625" customWidth="1"/>
    <col min="4" max="4" width="11.28515625" customWidth="1"/>
    <col min="5" max="5" width="41.140625" customWidth="1"/>
    <col min="6" max="6" width="9.42578125" customWidth="1"/>
    <col min="7" max="7" width="14" customWidth="1"/>
  </cols>
  <sheetData>
    <row r="1" spans="1:7" x14ac:dyDescent="0.25">
      <c r="A1" s="39"/>
    </row>
    <row r="2" spans="1:7" x14ac:dyDescent="0.25">
      <c r="A2" s="39"/>
    </row>
    <row r="3" spans="1:7" x14ac:dyDescent="0.25">
      <c r="A3" s="39"/>
    </row>
    <row r="4" spans="1:7" x14ac:dyDescent="0.25">
      <c r="G4" t="s">
        <v>1352</v>
      </c>
    </row>
    <row r="5" spans="1:7" x14ac:dyDescent="0.25">
      <c r="G5" t="s">
        <v>1352</v>
      </c>
    </row>
    <row r="7" spans="1:7" x14ac:dyDescent="0.25">
      <c r="B7">
        <f>COUNTA(E9:E11933)+9</f>
        <v>12</v>
      </c>
    </row>
    <row r="8" spans="1:7" x14ac:dyDescent="0.25">
      <c r="B8" s="61" t="s">
        <v>1354</v>
      </c>
      <c r="C8" s="65" t="s">
        <v>1356</v>
      </c>
      <c r="D8" s="62" t="s">
        <v>1</v>
      </c>
      <c r="E8" s="63" t="s">
        <v>1328</v>
      </c>
      <c r="F8" s="62" t="s">
        <v>1351</v>
      </c>
      <c r="G8" s="63" t="s">
        <v>1338</v>
      </c>
    </row>
    <row r="9" spans="1:7" x14ac:dyDescent="0.25">
      <c r="B9" t="s">
        <v>1809</v>
      </c>
      <c r="C9" t="s">
        <v>908</v>
      </c>
      <c r="D9">
        <v>9</v>
      </c>
      <c r="E9" t="s">
        <v>169</v>
      </c>
      <c r="F9">
        <v>0.48</v>
      </c>
      <c r="G9" t="s">
        <v>908</v>
      </c>
    </row>
    <row r="10" spans="1:7" x14ac:dyDescent="0.25">
      <c r="B10" t="s">
        <v>1809</v>
      </c>
      <c r="C10" t="s">
        <v>976</v>
      </c>
      <c r="D10">
        <v>6</v>
      </c>
      <c r="E10" t="s">
        <v>1458</v>
      </c>
      <c r="F10">
        <v>0.5</v>
      </c>
      <c r="G10" t="s">
        <v>976</v>
      </c>
    </row>
    <row r="11" spans="1:7" x14ac:dyDescent="0.25">
      <c r="B11" t="s">
        <v>1809</v>
      </c>
      <c r="C11" t="s">
        <v>620</v>
      </c>
      <c r="D11">
        <v>2</v>
      </c>
      <c r="E11" t="s">
        <v>1752</v>
      </c>
      <c r="F11">
        <v>0.25</v>
      </c>
      <c r="G11">
        <v>0.5</v>
      </c>
    </row>
    <row r="12" spans="1:7" x14ac:dyDescent="0.25">
      <c r="G12" t="s">
        <v>1352</v>
      </c>
    </row>
    <row r="13" spans="1:7" x14ac:dyDescent="0.25">
      <c r="G13" t="s">
        <v>1352</v>
      </c>
    </row>
    <row r="14" spans="1:7" x14ac:dyDescent="0.25">
      <c r="G14" t="s">
        <v>1352</v>
      </c>
    </row>
    <row r="15" spans="1:7" x14ac:dyDescent="0.25">
      <c r="G15" t="s">
        <v>1352</v>
      </c>
    </row>
    <row r="16" spans="1:7" x14ac:dyDescent="0.25">
      <c r="G16" t="s">
        <v>1352</v>
      </c>
    </row>
    <row r="17" spans="7:7" x14ac:dyDescent="0.25">
      <c r="G17" t="s">
        <v>1352</v>
      </c>
    </row>
    <row r="18" spans="7:7" x14ac:dyDescent="0.25">
      <c r="G18" t="s">
        <v>1352</v>
      </c>
    </row>
    <row r="19" spans="7:7" x14ac:dyDescent="0.25">
      <c r="G19" t="s">
        <v>1352</v>
      </c>
    </row>
    <row r="20" spans="7:7" x14ac:dyDescent="0.25">
      <c r="G20" t="s">
        <v>1352</v>
      </c>
    </row>
    <row r="21" spans="7:7" x14ac:dyDescent="0.25">
      <c r="G21" t="s">
        <v>1352</v>
      </c>
    </row>
    <row r="22" spans="7:7" x14ac:dyDescent="0.25">
      <c r="G22" t="s">
        <v>1352</v>
      </c>
    </row>
    <row r="23" spans="7:7" x14ac:dyDescent="0.25">
      <c r="G23" t="s">
        <v>1352</v>
      </c>
    </row>
    <row r="24" spans="7:7" x14ac:dyDescent="0.25">
      <c r="G24" t="s">
        <v>1352</v>
      </c>
    </row>
    <row r="25" spans="7:7" x14ac:dyDescent="0.25">
      <c r="G25" t="s">
        <v>1352</v>
      </c>
    </row>
    <row r="26" spans="7:7" x14ac:dyDescent="0.25">
      <c r="G26" t="s">
        <v>1352</v>
      </c>
    </row>
    <row r="27" spans="7:7" x14ac:dyDescent="0.25">
      <c r="G27" t="s">
        <v>1352</v>
      </c>
    </row>
    <row r="28" spans="7:7" x14ac:dyDescent="0.25">
      <c r="G28" t="s">
        <v>1352</v>
      </c>
    </row>
    <row r="31" spans="7:7" x14ac:dyDescent="0.25">
      <c r="G31" t="s">
        <v>1352</v>
      </c>
    </row>
    <row r="32" spans="7:7" x14ac:dyDescent="0.25">
      <c r="G32" t="s">
        <v>1352</v>
      </c>
    </row>
    <row r="33" spans="7:7" x14ac:dyDescent="0.25">
      <c r="G33" t="s">
        <v>1352</v>
      </c>
    </row>
    <row r="34" spans="7:7" x14ac:dyDescent="0.25">
      <c r="G34" t="s">
        <v>1352</v>
      </c>
    </row>
    <row r="35" spans="7:7" x14ac:dyDescent="0.25">
      <c r="G35" t="s">
        <v>1352</v>
      </c>
    </row>
    <row r="36" spans="7:7" x14ac:dyDescent="0.25">
      <c r="G36" t="s">
        <v>1352</v>
      </c>
    </row>
    <row r="37" spans="7:7" x14ac:dyDescent="0.25">
      <c r="G37" t="s">
        <v>1352</v>
      </c>
    </row>
    <row r="38" spans="7:7" x14ac:dyDescent="0.25">
      <c r="G38" t="s">
        <v>1352</v>
      </c>
    </row>
    <row r="39" spans="7:7" x14ac:dyDescent="0.25">
      <c r="G39" t="s">
        <v>1352</v>
      </c>
    </row>
    <row r="40" spans="7:7" x14ac:dyDescent="0.25">
      <c r="G40" t="s">
        <v>1352</v>
      </c>
    </row>
    <row r="41" spans="7:7" x14ac:dyDescent="0.25">
      <c r="G41" t="s">
        <v>1352</v>
      </c>
    </row>
    <row r="42" spans="7:7" x14ac:dyDescent="0.25">
      <c r="G42" t="s">
        <v>1352</v>
      </c>
    </row>
    <row r="43" spans="7:7" x14ac:dyDescent="0.25">
      <c r="G43" t="s">
        <v>1352</v>
      </c>
    </row>
    <row r="44" spans="7:7" x14ac:dyDescent="0.25">
      <c r="G44" t="s">
        <v>1352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25"/>
  <sheetViews>
    <sheetView topLeftCell="A4" workbookViewId="0">
      <selection activeCell="C34" sqref="C34"/>
    </sheetView>
  </sheetViews>
  <sheetFormatPr baseColWidth="10" defaultRowHeight="15" x14ac:dyDescent="0.25"/>
  <cols>
    <col min="1" max="1" width="26.140625" customWidth="1"/>
    <col min="3" max="3" width="15.140625" customWidth="1"/>
  </cols>
  <sheetData>
    <row r="1" spans="1:4" x14ac:dyDescent="0.25">
      <c r="A1" s="2"/>
      <c r="B1" s="2"/>
      <c r="C1" s="2"/>
      <c r="D1" s="2" t="s">
        <v>0</v>
      </c>
    </row>
    <row r="2" spans="1:4" x14ac:dyDescent="0.25">
      <c r="A2" s="2"/>
      <c r="B2" s="2"/>
      <c r="C2" s="2"/>
      <c r="D2" s="2"/>
    </row>
    <row r="3" spans="1:4" x14ac:dyDescent="0.25">
      <c r="A3" s="2" t="s">
        <v>2</v>
      </c>
      <c r="B3" s="2" t="s">
        <v>1</v>
      </c>
      <c r="C3" s="2" t="s">
        <v>61</v>
      </c>
      <c r="D3" s="2" t="s">
        <v>62</v>
      </c>
    </row>
    <row r="4" spans="1:4" x14ac:dyDescent="0.25">
      <c r="A4" t="s">
        <v>3</v>
      </c>
      <c r="B4">
        <v>7</v>
      </c>
      <c r="C4">
        <v>75</v>
      </c>
      <c r="D4">
        <v>60</v>
      </c>
    </row>
    <row r="5" spans="1:4" x14ac:dyDescent="0.25">
      <c r="A5" t="s">
        <v>63</v>
      </c>
      <c r="B5">
        <v>1</v>
      </c>
      <c r="C5">
        <v>130</v>
      </c>
      <c r="D5">
        <v>110</v>
      </c>
    </row>
    <row r="6" spans="1:4" x14ac:dyDescent="0.25">
      <c r="A6" t="s">
        <v>4</v>
      </c>
      <c r="B6">
        <v>1</v>
      </c>
      <c r="C6">
        <v>600</v>
      </c>
      <c r="D6">
        <v>500</v>
      </c>
    </row>
    <row r="7" spans="1:4" x14ac:dyDescent="0.25">
      <c r="A7" t="s">
        <v>5</v>
      </c>
      <c r="B7">
        <v>2</v>
      </c>
      <c r="C7">
        <v>500</v>
      </c>
      <c r="D7">
        <v>400</v>
      </c>
    </row>
    <row r="8" spans="1:4" x14ac:dyDescent="0.25">
      <c r="A8" s="1" t="s">
        <v>6</v>
      </c>
      <c r="B8">
        <v>1</v>
      </c>
    </row>
    <row r="9" spans="1:4" ht="30" x14ac:dyDescent="0.25">
      <c r="A9" s="3" t="s">
        <v>64</v>
      </c>
      <c r="B9">
        <v>1</v>
      </c>
      <c r="C9">
        <v>100</v>
      </c>
      <c r="D9">
        <v>100</v>
      </c>
    </row>
    <row r="10" spans="1:4" x14ac:dyDescent="0.25">
      <c r="A10" s="1" t="s">
        <v>7</v>
      </c>
      <c r="B10">
        <v>4</v>
      </c>
      <c r="C10">
        <v>500</v>
      </c>
      <c r="D10">
        <v>400</v>
      </c>
    </row>
    <row r="11" spans="1:4" x14ac:dyDescent="0.25">
      <c r="A11" s="1" t="s">
        <v>8</v>
      </c>
      <c r="B11">
        <v>2</v>
      </c>
      <c r="C11">
        <v>70</v>
      </c>
      <c r="D11">
        <v>50</v>
      </c>
    </row>
    <row r="12" spans="1:4" x14ac:dyDescent="0.25">
      <c r="A12" s="1" t="s">
        <v>9</v>
      </c>
      <c r="B12">
        <v>1</v>
      </c>
      <c r="C12">
        <v>150</v>
      </c>
      <c r="D12">
        <v>150</v>
      </c>
    </row>
    <row r="13" spans="1:4" x14ac:dyDescent="0.25">
      <c r="A13" s="1" t="s">
        <v>10</v>
      </c>
      <c r="B13">
        <v>2</v>
      </c>
      <c r="C13">
        <v>100</v>
      </c>
      <c r="D13">
        <v>100</v>
      </c>
    </row>
    <row r="14" spans="1:4" x14ac:dyDescent="0.25">
      <c r="A14" s="1" t="s">
        <v>11</v>
      </c>
      <c r="B14">
        <v>1</v>
      </c>
      <c r="C14">
        <v>350</v>
      </c>
      <c r="D14">
        <v>300</v>
      </c>
    </row>
    <row r="15" spans="1:4" x14ac:dyDescent="0.25">
      <c r="A15" s="1" t="s">
        <v>66</v>
      </c>
      <c r="B15">
        <v>2</v>
      </c>
      <c r="C15">
        <v>50</v>
      </c>
      <c r="D15">
        <v>50</v>
      </c>
    </row>
    <row r="16" spans="1:4" x14ac:dyDescent="0.25">
      <c r="A16" s="1" t="s">
        <v>67</v>
      </c>
      <c r="B16">
        <v>1</v>
      </c>
      <c r="C16">
        <v>15</v>
      </c>
      <c r="D16">
        <v>15</v>
      </c>
    </row>
    <row r="17" spans="1:4" x14ac:dyDescent="0.25">
      <c r="A17" s="1" t="s">
        <v>68</v>
      </c>
      <c r="B17">
        <v>1</v>
      </c>
      <c r="C17">
        <v>100</v>
      </c>
      <c r="D17">
        <v>50</v>
      </c>
    </row>
    <row r="18" spans="1:4" x14ac:dyDescent="0.25">
      <c r="A18" s="1" t="s">
        <v>69</v>
      </c>
      <c r="B18">
        <v>1</v>
      </c>
      <c r="C18">
        <v>25</v>
      </c>
      <c r="D18">
        <v>25</v>
      </c>
    </row>
    <row r="19" spans="1:4" x14ac:dyDescent="0.25">
      <c r="A19" s="1" t="s">
        <v>73</v>
      </c>
      <c r="B19">
        <v>1</v>
      </c>
      <c r="C19">
        <v>25</v>
      </c>
      <c r="D19">
        <v>25</v>
      </c>
    </row>
    <row r="20" spans="1:4" x14ac:dyDescent="0.25">
      <c r="A20" s="1" t="s">
        <v>70</v>
      </c>
      <c r="B20">
        <v>1</v>
      </c>
      <c r="C20">
        <v>50</v>
      </c>
      <c r="D20">
        <v>50</v>
      </c>
    </row>
    <row r="21" spans="1:4" x14ac:dyDescent="0.25">
      <c r="A21" s="1" t="s">
        <v>65</v>
      </c>
      <c r="C21">
        <v>30</v>
      </c>
      <c r="D21">
        <v>20</v>
      </c>
    </row>
    <row r="22" spans="1:4" ht="30" x14ac:dyDescent="0.25">
      <c r="A22" s="3" t="s">
        <v>71</v>
      </c>
      <c r="B22">
        <v>1</v>
      </c>
      <c r="C22">
        <v>50</v>
      </c>
      <c r="D22">
        <v>20</v>
      </c>
    </row>
    <row r="23" spans="1:4" x14ac:dyDescent="0.25">
      <c r="A23" s="1" t="s">
        <v>72</v>
      </c>
      <c r="B23">
        <v>1</v>
      </c>
      <c r="C23">
        <v>50</v>
      </c>
      <c r="D23">
        <v>25</v>
      </c>
    </row>
    <row r="24" spans="1:4" x14ac:dyDescent="0.25">
      <c r="C24">
        <v>0</v>
      </c>
      <c r="D24">
        <f>SUM(D4:D23)</f>
        <v>2450</v>
      </c>
    </row>
    <row r="25" spans="1:4" x14ac:dyDescent="0.25">
      <c r="C25">
        <f>SUM(C4:C24)</f>
        <v>2970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zoomScale="40" zoomScaleNormal="40" workbookViewId="0">
      <selection activeCell="D28" sqref="D28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21F9E2-0769-48D4-B6FF-BB1E8F3985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4</vt:i4>
      </vt:variant>
    </vt:vector>
  </HeadingPairs>
  <TitlesOfParts>
    <vt:vector size="14" baseType="lpstr">
      <vt:lpstr>Menu</vt:lpstr>
      <vt:lpstr>Preview2</vt:lpstr>
      <vt:lpstr>BaseProductos</vt:lpstr>
      <vt:lpstr>DatosClientes</vt:lpstr>
      <vt:lpstr>FacturaPlantilla</vt:lpstr>
      <vt:lpstr>ImpProducto</vt:lpstr>
      <vt:lpstr>REGISTROFACTURAS</vt:lpstr>
      <vt:lpstr>REGISTRONOTAS</vt:lpstr>
      <vt:lpstr>BIENES MATERIALES</vt:lpstr>
      <vt:lpstr>VARIOSS- MAQUILLAJE</vt:lpstr>
      <vt:lpstr>BaseProductos!Área_de_impresión</vt:lpstr>
      <vt:lpstr>FacturaPlantilla!Área_de_impresión</vt:lpstr>
      <vt:lpstr>ImpProducto!Área_de_impresión</vt:lpstr>
      <vt:lpstr>Preview2!Área_de_impresión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2020-11-14T21:14:25Z</cp:lastPrinted>
  <dcterms:created xsi:type="dcterms:W3CDTF">2020-03-05T23:22:08Z</dcterms:created>
  <dcterms:modified xsi:type="dcterms:W3CDTF">2020-11-14T21:15:39Z</dcterms:modified>
</cp:coreProperties>
</file>